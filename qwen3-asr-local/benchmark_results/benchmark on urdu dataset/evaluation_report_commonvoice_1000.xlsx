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ummary"/>
    <sheet r:id="rId2" sheetId="2" name="Evaluation"/>
  </sheets>
  <calcPr fullCalcOnLoad="1"/>
</workbook>
</file>

<file path=xl/sharedStrings.xml><?xml version="1.0" encoding="utf-8"?>
<sst xmlns="http://schemas.openxmlformats.org/spreadsheetml/2006/main" count="2449" uniqueCount="2046">
  <si>
    <t>Audio File Name</t>
  </si>
  <si>
    <t>Benchmark Urdu (Nastaliq)</t>
  </si>
  <si>
    <t>Benchmark Roman Urdu (script)</t>
  </si>
  <si>
    <t>Hindi ASR (Devanagari)</t>
  </si>
  <si>
    <t>Roman ASR — Script method</t>
  </si>
  <si>
    <t>Roman ASR — LLM method</t>
  </si>
  <si>
    <t>Accuracy % — Script</t>
  </si>
  <si>
    <t>Accuracy % — LLM</t>
  </si>
  <si>
    <t>Mismatched — Script</t>
  </si>
  <si>
    <t>Mismatched — LLM</t>
  </si>
  <si>
    <t>ASR Time (s)</t>
  </si>
  <si>
    <t>Status / Notes</t>
  </si>
  <si>
    <t>h_matched_script</t>
  </si>
  <si>
    <t>h_total_script</t>
  </si>
  <si>
    <t>h_matched_llm</t>
  </si>
  <si>
    <t>h_total_llm</t>
  </si>
  <si>
    <t>common_voice_ur_31771683.wav</t>
  </si>
  <si>
    <t>کبھی کبھار ہی خیالی پلاو بناتا ہوں</t>
  </si>
  <si>
    <t>kabhi kabhaar hi khayali pulao banata hoon</t>
  </si>
  <si>
    <t>कभी कबार ही ख़ैयाली प्लाव बनाता हूँ</t>
  </si>
  <si>
    <t>kabhi kabaar hi khaiyali plaaw banata hoon</t>
  </si>
  <si>
    <t>plaaw</t>
  </si>
  <si>
    <t>ok</t>
  </si>
  <si>
    <t>common_voice_ur_31771684.wav</t>
  </si>
  <si>
    <t>اور پھر ممکن ہے کہ پاکستان بھی ہو</t>
  </si>
  <si>
    <t>aur phir mumkin hai ke Pakistan bhi ho</t>
  </si>
  <si>
    <t>और फिर मुमकिन है कि पाकिस्तान भी हो।</t>
  </si>
  <si>
    <t>aur phir mumakin hai ki Pakistan bhi ho.</t>
  </si>
  <si>
    <t>ki</t>
  </si>
  <si>
    <t>common_voice_ur_31771685.wav</t>
  </si>
  <si>
    <t>یہ فیصلہ بھی گزشتہ دو سال میں</t>
  </si>
  <si>
    <t>yeh faisla bhi guzashta do saal mein</t>
  </si>
  <si>
    <t>ये फैसला भी गुजरिशता दो साल में</t>
  </si>
  <si>
    <t>yeh faisla bhi gujarishta do saal mein</t>
  </si>
  <si>
    <t>common_voice_ur_31771730.wav</t>
  </si>
  <si>
    <t>ان کے بلے بازوں کے سامنے ہو گا</t>
  </si>
  <si>
    <t>in ke bale baazon ke saamane ho ga</t>
  </si>
  <si>
    <t>इनके बले बाजू के सामने होगा।</t>
  </si>
  <si>
    <t>inke bale baajoo ke saamne hoga.</t>
  </si>
  <si>
    <t>inke, bale, baajoo, hoga</t>
  </si>
  <si>
    <t>common_voice_ur_31771732.wav</t>
  </si>
  <si>
    <t>آبی جانور میں بطخ بگلا اور دُوسْرا آبی پرندہ شامل ہونا</t>
  </si>
  <si>
    <t>aabi jaanor mein batakh bagala aur duosra aabi parnada shaamal hona</t>
  </si>
  <si>
    <t>आबी जानवर में बतख, भलगा और दूसरा आबी परिंदा शामिल होना।</t>
  </si>
  <si>
    <t>aabi jaanawar mein batakh, bhalga aur doosra aabi parinda shaamil hona.</t>
  </si>
  <si>
    <t>bhalga</t>
  </si>
  <si>
    <t>common_voice_ur_31771880.wav</t>
  </si>
  <si>
    <t>اِس طےشدہ مدت میں میرے ذمے پڑھانے کا کام کافی ہلکا ہے</t>
  </si>
  <si>
    <t>is teshda madat mein mire zame parhane ka kaam kafi halaka hai</t>
  </si>
  <si>
    <t>इस्तेशुदा मुद्दे में मेरे जिम्मे पढ़ाने का काम काफी हल्का है।</t>
  </si>
  <si>
    <t>isteshuda mudde mein mere jimme parhane ka kaam kaaphi halka hai.</t>
  </si>
  <si>
    <t>mudde, jimme, kaaphi</t>
  </si>
  <si>
    <t>common_voice_ur_31771882.wav</t>
  </si>
  <si>
    <t>فلمیں دیکھنی ہوں۔</t>
  </si>
  <si>
    <t>filmein dikhani hoon.</t>
  </si>
  <si>
    <t>फिल्में देखनी हो।</t>
  </si>
  <si>
    <t>philmen dekhni ho.</t>
  </si>
  <si>
    <t>ho</t>
  </si>
  <si>
    <t>common_voice_ur_31771884.wav</t>
  </si>
  <si>
    <t>دوسرا اس وجہ سے کہ اس کی پشت پر ذرائع ابلاغ ہیں۔</t>
  </si>
  <si>
    <t>dosara is wajah se ke is ki pashat par zraai ablaagh hain.</t>
  </si>
  <si>
    <t>दूसरा इस वजह से के इसकी पुष्ट पर जराए अबालगा हैं।</t>
  </si>
  <si>
    <t>doosra is wajah se ke iski pusht par jaraae abaalga hain.</t>
  </si>
  <si>
    <t>iski, jaraae</t>
  </si>
  <si>
    <t>common_voice_ur_31771885.wav</t>
  </si>
  <si>
    <t>اسکے معانی پر اور مفہوم پر کبھی غورکیا بھی نہیں</t>
  </si>
  <si>
    <t>asake mani par aur mafhom par kabhi ghorakiaa bhi nahi</t>
  </si>
  <si>
    <t>इसके माइनी पर और मफ़ोम पर कभी घोर किया भी नहीं।</t>
  </si>
  <si>
    <t>iske maaini par aur mafom par kabhi ghor kiya bhi nahi.</t>
  </si>
  <si>
    <t>iske, ghor, kiya</t>
  </si>
  <si>
    <t>common_voice_ur_31771886.wav</t>
  </si>
  <si>
    <t>ماتحت عدالتیں کس خوف کا شکار تھیں؟</t>
  </si>
  <si>
    <t>maathat daalatin kis khauf ka shikar thin?</t>
  </si>
  <si>
    <t>मातृत्व अदालतें किस खौफ का शिकार थीं?</t>
  </si>
  <si>
    <t>maatritw adaalaten kis khauph ka shikaar thin?</t>
  </si>
  <si>
    <t>maatritw</t>
  </si>
  <si>
    <t>common_voice_ur_31772051.wav</t>
  </si>
  <si>
    <t>پانی کی ایک عجیب خاصیت تھی</t>
  </si>
  <si>
    <t>pani ki aik ajeeb khasiyat thi</t>
  </si>
  <si>
    <t>पानी की एक अजीब खासियत थी।</t>
  </si>
  <si>
    <t>pani ki ek ajeeb khaasiyat thi.</t>
  </si>
  <si>
    <t>ek</t>
  </si>
  <si>
    <t>common_voice_ur_31776227.wav</t>
  </si>
  <si>
    <t>چیئرمین پیس بی کی نیوزی لینڈ کو دورہ پاکستان کی پیشکش</t>
  </si>
  <si>
    <t>chairman pis B ki New Zealand ko daura Pakistan ki peshkash</t>
  </si>
  <si>
    <t>चेयरमैन पीसीबी की न्यूजीलैंड को दौरे पाकिस्तान की पेशकश</t>
  </si>
  <si>
    <t>cheyaramain peeseebi ki nyoojeelaind ko daure Pakistan ki peshakash</t>
  </si>
  <si>
    <t>cheyaramain, peeseebi, nyoojeelaind</t>
  </si>
  <si>
    <t>common_voice_ur_31776229.wav</t>
  </si>
  <si>
    <t>سمیت پاکستان کے تمام بڑے شہروں کے</t>
  </si>
  <si>
    <t>samit Pakistan ke tmaam bare shaharon ke</t>
  </si>
  <si>
    <t>समेत पाकिस्तान के तमाम बड़े शहरों के</t>
  </si>
  <si>
    <t>samet Pakistan ke tamaam bare shaharon ke</t>
  </si>
  <si>
    <t>common_voice_ur_31776231.wav</t>
  </si>
  <si>
    <t>جو یَہاں کا جنگلات کےحسن کو چار چاند لگنا دینا ہونا</t>
  </si>
  <si>
    <t>jo yhaan ka janglaat kehsan ko char chaanad lagana dina hona</t>
  </si>
  <si>
    <t>जो यहाँ के जंगलात के हुसन को चांद चांद लगना देना होना।</t>
  </si>
  <si>
    <t>jo yahan ke jangalaat ke husan ko chand chand lagna dena hona.</t>
  </si>
  <si>
    <t>ke, ke, chand</t>
  </si>
  <si>
    <t>common_voice_ur_31776296.wav</t>
  </si>
  <si>
    <t>فلم اچھا بزنس نہ کرتی ہو۔</t>
  </si>
  <si>
    <t>film achha baznas na karti ho.</t>
  </si>
  <si>
    <t>फिल्म अच्छा बिजनेस ना करती हो।</t>
  </si>
  <si>
    <t>film acha bijanes na karti ho.</t>
  </si>
  <si>
    <t>bijanes</t>
  </si>
  <si>
    <t>common_voice_ur_31776298.wav</t>
  </si>
  <si>
    <t>صرف کام کرو کھانا کھاؤ ٹیکس دو کام ختم اور ہم بھی فارخ</t>
  </si>
  <si>
    <t>saraf kaam karo khana khaao tikas do kaam khatam aur hum bhi faarakh</t>
  </si>
  <si>
    <t>सिर्फ़ काम करो, खाना खाओ, टैक्स दो, काम खत्म और हम भी फारम</t>
  </si>
  <si>
    <t>sirf kaam karo, khana khao, tax do, kaam khatm aur hum bhi phaaram</t>
  </si>
  <si>
    <t>sirf, tax, phaaram</t>
  </si>
  <si>
    <t>common_voice_ur_31776299.wav</t>
  </si>
  <si>
    <t>ٹیلنٹ خاک ہے۔</t>
  </si>
  <si>
    <t>tilnat khaak hai.</t>
  </si>
  <si>
    <t>टैलेंट खाक है।</t>
  </si>
  <si>
    <t>tailent khaak hai.</t>
  </si>
  <si>
    <t>common_voice_ur_31776428.wav</t>
  </si>
  <si>
    <t>فیفا ورلڈ کپ پیرو نے اسٹریلیا کو شکست دیدی</t>
  </si>
  <si>
    <t>fifa orlad kap piro ne astariliaa ko shaksat didi</t>
  </si>
  <si>
    <t>फ़िफ़ा वर्ल्ड कप पीरो ने ऑस्ट्रेलिया को शिकस्त दे दी।</t>
  </si>
  <si>
    <t>fifa warld kap peero ne Australia ko shikast de D.</t>
  </si>
  <si>
    <t>warld, peero, de, d</t>
  </si>
  <si>
    <t>common_voice_ur_31776429.wav</t>
  </si>
  <si>
    <t>کچھ بھِی ممکن ہے نیو گِنی فنڈ کے متعلق کِیا خیال ہے</t>
  </si>
  <si>
    <t>kachh bhi mumkin hai nio gini fanad ke matlaq kya khayal hai</t>
  </si>
  <si>
    <t>कुछ भी मुमकिन है न्यूजीलैंड फंड के मुताबिक क्या ख्याल है?</t>
  </si>
  <si>
    <t>kuch bhi mumakin hai nyoojeelaind phand ke mutaabik kya khyaal hai?</t>
  </si>
  <si>
    <t>kuch, nyoojeelaind, phand, mutaabik</t>
  </si>
  <si>
    <t>common_voice_ur_31776430.wav</t>
  </si>
  <si>
    <t>اچھی حکومت وہی ہے جو اس کا موقع کم آنے دیتی ہے۔</t>
  </si>
  <si>
    <t>achhi hakomat ohi hai jo is ka moqa kam aane diti hai.</t>
  </si>
  <si>
    <t>अच्छी अकोमत वही है जो इसका मौका काम आने देती है।</t>
  </si>
  <si>
    <t>achchi akomat wahi hai jo iska mauka kaam aane deti hai.</t>
  </si>
  <si>
    <t>wahi, iska, mauka</t>
  </si>
  <si>
    <t>common_voice_ur_31776431.wav</t>
  </si>
  <si>
    <t>میرا کہنا یہ تھا کہ ٹاک شو میں اصلا دو فریق ہیں۔</t>
  </si>
  <si>
    <t>mera kehna yeh tha ke taak sho mein asala do fariq hain.</t>
  </si>
  <si>
    <t>मेरा कहना ये था कि टॉक शो में असला दो फरीक हैं।</t>
  </si>
  <si>
    <t>mera kehna yeh tha ki tok sho mein asla do phareek hain.</t>
  </si>
  <si>
    <t>ki, tok, phareek</t>
  </si>
  <si>
    <t>common_voice_ur_31776466.wav</t>
  </si>
  <si>
    <t>اس وقت فلائنگ کوچ کی سیٹ پر بیٹھے ہوئے</t>
  </si>
  <si>
    <t>is waqt flaainag koch ki sit par bithe hoie</t>
  </si>
  <si>
    <t>इस वक़त फ्लाइंग कोच की सीट पर बैठे हुए</t>
  </si>
  <si>
    <t>is waqt phlaaing koch ki seat par baithe hue</t>
  </si>
  <si>
    <t>seat, hue</t>
  </si>
  <si>
    <t>common_voice_ur_31776469.wav</t>
  </si>
  <si>
    <t>ملک ایک بار پھر دو جماعتی نظام کی طرف لوٹ گیا ہے۔</t>
  </si>
  <si>
    <t>malak aik baar phir do jamati nzaam ki taraf lot gaya hai.</t>
  </si>
  <si>
    <t>मुल्क के एक बार फिर दो जमाती नजाम की तरफ लौट गया है।</t>
  </si>
  <si>
    <t>mulk ke ek baar phir do jamati najaam ki taraph laut gaya hai.</t>
  </si>
  <si>
    <t>mulk, ke, ek, laut</t>
  </si>
  <si>
    <t>common_voice_ur_31776595.wav</t>
  </si>
  <si>
    <t>وہ بیساکھیوں کے سہارے چل رہی ہے۔</t>
  </si>
  <si>
    <t>woh bisaakhion ke sahare chal rahi hai.</t>
  </si>
  <si>
    <t>वो बासाकियों के सहारे चल रही है।</t>
  </si>
  <si>
    <t>woh baasaakiyon ke sahare chal rahi hai.</t>
  </si>
  <si>
    <t>common_voice_ur_31776598.wav</t>
  </si>
  <si>
    <t>پاکستان میں اسما</t>
  </si>
  <si>
    <t>Pakistan mein asama</t>
  </si>
  <si>
    <t>پاکستان می‌آسما.</t>
  </si>
  <si>
    <t>پاکستان, می‌آسما</t>
  </si>
  <si>
    <t>common_voice_ur_31777458.wav</t>
  </si>
  <si>
    <t>یہ بات اب عیاں ہے۔</t>
  </si>
  <si>
    <t>yeh baat ab iaan hai.</t>
  </si>
  <si>
    <t>ये बात अब आया है।</t>
  </si>
  <si>
    <t>yeh baat ab aaya hai.</t>
  </si>
  <si>
    <t>aaya</t>
  </si>
  <si>
    <t>common_voice_ur_31777462.wav</t>
  </si>
  <si>
    <t>اب وقت گزر چکا ہے۔</t>
  </si>
  <si>
    <t>ab waqt gazar chaka hai.</t>
  </si>
  <si>
    <t>अब वक्त गुजर चुका है।</t>
  </si>
  <si>
    <t>ab waqt gujar chuka hai.</t>
  </si>
  <si>
    <t>gujar</t>
  </si>
  <si>
    <t>common_voice_ur_31784922.wav</t>
  </si>
  <si>
    <t>نہ اخبار میں بیان چھپواتے ہیں۔</t>
  </si>
  <si>
    <t>na akhbaar mein biaan chhapoaate hain.</t>
  </si>
  <si>
    <t>ना अखबार में बयान चपवाते हैं।</t>
  </si>
  <si>
    <t>na akhabaar mein bayaan chapawate hain.</t>
  </si>
  <si>
    <t>common_voice_ur_31784923.wav</t>
  </si>
  <si>
    <t>جنہیں دوسرے ٹیسٹ کی شکست نے برہنہ کر کے رکھ دیا ہے</t>
  </si>
  <si>
    <t>janahin dosare test ki shaksat ne barhana kar ke rakh diya hai</t>
  </si>
  <si>
    <t>जिन्हें दूसरे टेस्ट की शक्सेस ने बलहीना करके रख दिया है।</t>
  </si>
  <si>
    <t>jinhen doosre test ki shakses ne balaheena karke rakh diya hai.</t>
  </si>
  <si>
    <t>jinhen, balaheena</t>
  </si>
  <si>
    <t>common_voice_ur_31784924.wav</t>
  </si>
  <si>
    <t>اس موقع سے وہ کیا فائدہ اٹھاتا ہے۔</t>
  </si>
  <si>
    <t>is moqa se woh kya faaida athata hai.</t>
  </si>
  <si>
    <t>इस मौका से वो क्या फायदा उठाता है?</t>
  </si>
  <si>
    <t>is mauka se woh kya phaayda uthata hai?</t>
  </si>
  <si>
    <t>mauka, phaayda</t>
  </si>
  <si>
    <t>common_voice_ur_31784926.wav</t>
  </si>
  <si>
    <t>میں مجبور ہو گیا تھا</t>
  </si>
  <si>
    <t>mein majabor ho gaya tha</t>
  </si>
  <si>
    <t>मैं मजबूर हो गया था।</t>
  </si>
  <si>
    <t>main majaboor ho gaya tha.</t>
  </si>
  <si>
    <t>common_voice_ur_31784928.wav</t>
  </si>
  <si>
    <t>کہ فلم نے ریلیز کے پہلے روز آٹھ کروڑ،</t>
  </si>
  <si>
    <t>ke film ne riliz ke pehle roz aath crore,</t>
  </si>
  <si>
    <t>के फिल्म ने रिलीज के पहले रोज आठ करोड़</t>
  </si>
  <si>
    <t>ke film ne rileej ke pahle roj aath crore</t>
  </si>
  <si>
    <t>rileej, roj</t>
  </si>
  <si>
    <t>common_voice_ur_31784929.wav</t>
  </si>
  <si>
    <t>تو دیکھیے گا۔</t>
  </si>
  <si>
    <t>to dikhie ga.</t>
  </si>
  <si>
    <t>तो देखेगा</t>
  </si>
  <si>
    <t>to dekhega</t>
  </si>
  <si>
    <t>dekhega</t>
  </si>
  <si>
    <t>common_voice_ur_31784930.wav</t>
  </si>
  <si>
    <t>شادی ہوتی ہے۔</t>
  </si>
  <si>
    <t>shadi hoti hai.</t>
  </si>
  <si>
    <t>शादी होती है।</t>
  </si>
  <si>
    <t>common_voice_ur_31784931.wav</t>
  </si>
  <si>
    <t>کہ آخر زمین کا درجہ حرارت بڑھنے کے اس عمل کو</t>
  </si>
  <si>
    <t>ke aakhar zamin ka darja hraarat barhane ke is mal ko</t>
  </si>
  <si>
    <t>के आखिर जमीन का तरजीह गर्मारत बढ़ने के इस अंबल को</t>
  </si>
  <si>
    <t>ke akhir jameen ka tarajeeh garmaarat barhne ke is anbal ko</t>
  </si>
  <si>
    <t>jameen, tarajeeh, anbal</t>
  </si>
  <si>
    <t>common_voice_ur_31784942.wav</t>
  </si>
  <si>
    <t>جو امریکہ کہتاتھا وہی ٹھیک ٹھہرتا۔</t>
  </si>
  <si>
    <t>jo amarika kahtaatha ohi theek thahrata.</t>
  </si>
  <si>
    <t>जो अमेरिका कहता था वही ठीक ठहरता।</t>
  </si>
  <si>
    <t>jo America kahta tha wahi theek thaharta.</t>
  </si>
  <si>
    <t>tha, wahi</t>
  </si>
  <si>
    <t>common_voice_ur_31784945.wav</t>
  </si>
  <si>
    <t>روح کی غذا اللہ کا ذکر ہے</t>
  </si>
  <si>
    <t>roh ki ghaza alla ka zakar hai</t>
  </si>
  <si>
    <t>रू की वजह लाका जिकर है।</t>
  </si>
  <si>
    <t>roo ki wajah laka jikar hai.</t>
  </si>
  <si>
    <t>roo, wajah, laka, jikar</t>
  </si>
  <si>
    <t>common_voice_ur_31784946.wav</t>
  </si>
  <si>
    <t>تو ان چہروں کی وجہ سے۔</t>
  </si>
  <si>
    <t>to in chaharon ki wajah se.</t>
  </si>
  <si>
    <t>तो इन चेहरों की वजह से</t>
  </si>
  <si>
    <t>to in cheharon ki wajah se</t>
  </si>
  <si>
    <t>common_voice_ur_31789217.wav</t>
  </si>
  <si>
    <t>سیاسی جماعتیں بھی دانستہ اس کلچرکو فروغ دیتی ہیں۔</t>
  </si>
  <si>
    <t>siaasi jmaatin bhi daansata is kalcharako farogh diti hain.</t>
  </si>
  <si>
    <t>सेवासी जमातें भी दानिस्ता इस कल्चर को फर्क देती हैं।</t>
  </si>
  <si>
    <t>sewasi jamaaten bhi daanista is culture ko phark deti hain.</t>
  </si>
  <si>
    <t>sewasi, culture, ko, phark</t>
  </si>
  <si>
    <t>common_voice_ur_31789218.wav</t>
  </si>
  <si>
    <t>جلائے جاتے ہیں</t>
  </si>
  <si>
    <t>jlaaie jate hain</t>
  </si>
  <si>
    <t>जलाए जाते हैं।</t>
  </si>
  <si>
    <t>jalaae jate hain.</t>
  </si>
  <si>
    <t>common_voice_ur_31789219.wav</t>
  </si>
  <si>
    <t>امريکا کی پہلی ڈیجیٹل کلاک کے بانی نے اسے اپنے کارخانے میں بنایا تھا اور اب اس کی فروخت کر دی گئی ہے</t>
  </si>
  <si>
    <t>amarika ki pahali dijital klaak ke bani ne isay apane kaarakhane mein banaya tha aur ab is ki farokhat kar D gayi hai</t>
  </si>
  <si>
    <t>अमेरिका की पहली डिजिटल कलाओं के बानी ने इससे अपने कारखाने में बनाया था और अब इसकी फरोक कर दी गई है।</t>
  </si>
  <si>
    <t>America ki pahli dijital kalaaon ke bani ne isse apne kaarakhane mein banaya tha aur ab iski pharok kar D gai hai.</t>
  </si>
  <si>
    <t>kalaaon, isse, iski, pharok</t>
  </si>
  <si>
    <t>common_voice_ur_31789220.wav</t>
  </si>
  <si>
    <t>اب سچ وہی ہے</t>
  </si>
  <si>
    <t>ab sach ohi hai</t>
  </si>
  <si>
    <t>अब सच हुई है।</t>
  </si>
  <si>
    <t>ab sach hui hai.</t>
  </si>
  <si>
    <t>hui</t>
  </si>
  <si>
    <t>common_voice_ur_31789221.wav</t>
  </si>
  <si>
    <t>کے بعد تین جرنیل واپس چلے گئے</t>
  </si>
  <si>
    <t>ke baad teen jaranil oaapas chale gaye</t>
  </si>
  <si>
    <t>के बातीन जर्नल वापस चली गई।</t>
  </si>
  <si>
    <t>ke baateen jarnal waapas chali gai.</t>
  </si>
  <si>
    <t>gai</t>
  </si>
  <si>
    <t>common_voice_ur_31789326.wav</t>
  </si>
  <si>
    <t>ویسی ہی ہیں۔</t>
  </si>
  <si>
    <t>oisi hi hain.</t>
  </si>
  <si>
    <t>वैसे ही हैं।</t>
  </si>
  <si>
    <t>waise hi hain.</t>
  </si>
  <si>
    <t>waise</t>
  </si>
  <si>
    <t>common_voice_ur_31789431.wav</t>
  </si>
  <si>
    <t>آسانی سے ناراض نہیں ہوتا</t>
  </si>
  <si>
    <t>aasani se naraaz nahi hota</t>
  </si>
  <si>
    <t>आसानी से नाराज नहीं होता।</t>
  </si>
  <si>
    <t>aasani se naaraaj nahi hota.</t>
  </si>
  <si>
    <t>common_voice_ur_31789433.wav</t>
  </si>
  <si>
    <t>خراب موسم کی صورتحال کی وجہ سے عالمی پیداوار میں کمی کے بڑھتے ہوئے</t>
  </si>
  <si>
    <t>khraab mosam ki sorthaal ki wajah se aalami pidaaoaar mein kami ke barhate hoie</t>
  </si>
  <si>
    <t>ख़राब मौसम की सूरतेहाल की वजह से आलमी पैदावार में कमी के बढ़ते हुए</t>
  </si>
  <si>
    <t>kharab mausam ki sooratehaal ki wajah se aalmi paidaawaar mein kami ke barhte hue</t>
  </si>
  <si>
    <t>hue</t>
  </si>
  <si>
    <t>common_voice_ur_31789438.wav</t>
  </si>
  <si>
    <t>ان کی ضرورت کا ادراک مگر کم لوگ ہی کر پاتے ہیں۔</t>
  </si>
  <si>
    <t>in ki zarorat ka adraak magar kam log hi kar pate hain.</t>
  </si>
  <si>
    <t>इनकी जरूरत का दरार मगर कम लोग ही कर पाते हैं।</t>
  </si>
  <si>
    <t>inki jaroorat ka daraar magar kam log hi kar pate hain.</t>
  </si>
  <si>
    <t>inki, daraar</t>
  </si>
  <si>
    <t>common_voice_ur_31789531.wav</t>
  </si>
  <si>
    <t>پاکستان ہاکی ٹیم اج ہالینڈ سے ٹکرا ئے گی</t>
  </si>
  <si>
    <t>Pakistan haki tim aj haalinad se takara ie gi</t>
  </si>
  <si>
    <t>पाकिस्तान हॉकी टीम आज हालैंड से टकराएगी।</t>
  </si>
  <si>
    <t>Pakistan hockey team aaj haalaind se takaraaegi.</t>
  </si>
  <si>
    <t>hockey, team</t>
  </si>
  <si>
    <t>common_voice_ur_31789532.wav</t>
  </si>
  <si>
    <t>بال ٹمپرنگ کیس سٹریلوی سزا یافتہ کھلاڑیوں نےغلطی کا اعتراف کر لیا</t>
  </si>
  <si>
    <t>baal tamparnag kis satariloi saza iaafta khlaarion neghlati ka atraaf kar liya</t>
  </si>
  <si>
    <t>बॉल टेम्परिंग केस, ऑस्ट्रेलियाई सजा यात्रा खिलाड़ियों ने गलती का इतराफ कर लिया।</t>
  </si>
  <si>
    <t>bol temparing kes, ostreliyaai saja yaatra khilaariyon ne galti ka itaraaph kar liya.</t>
  </si>
  <si>
    <t>bol, kes, ostreliyaai, yaatra, ne, galti, itaraaph</t>
  </si>
  <si>
    <t>common_voice_ur_31789533.wav</t>
  </si>
  <si>
    <t>صرف پانچ سوالات جغرافیے کے تھے</t>
  </si>
  <si>
    <t>saraf panch soalaat jaghraafie ke thay</t>
  </si>
  <si>
    <t>सिर्फ पांच सौ वाला ज्योग्राफी के थे।</t>
  </si>
  <si>
    <t>sirf panch sau wala jyograaphi ke the.</t>
  </si>
  <si>
    <t>sirf, sau, wala, jyograaphi, the</t>
  </si>
  <si>
    <t>common_voice_ur_31789534.wav</t>
  </si>
  <si>
    <t>آرمینیا کا موسم گرما کا وقت</t>
  </si>
  <si>
    <t>aaraminiaa ka mosam garama ka waqt</t>
  </si>
  <si>
    <t>अर्मानिया का मौसम गर्मा का वक्त।</t>
  </si>
  <si>
    <t>armaaniya ka mausam garma ka waqt.</t>
  </si>
  <si>
    <t>armaaniya</t>
  </si>
  <si>
    <t>common_voice_ur_31789594.wav</t>
  </si>
  <si>
    <t>راستے سے پاکستان چلا گیا۔</t>
  </si>
  <si>
    <t>raasate se Pakistan chala gaya.</t>
  </si>
  <si>
    <t>रास्ते से पाकिस्तान चला गया।</t>
  </si>
  <si>
    <t>raaste se Pakistan chala gaya.</t>
  </si>
  <si>
    <t>common_voice_ur_31789595.wav</t>
  </si>
  <si>
    <t>اتنی ڈھیر ساری مثبت باتیں سننے کے بعد میں نے اچانک سوال کیا</t>
  </si>
  <si>
    <t>atani dhir sari masbat baatin sanane ke baad mein ne achanak soaal kya</t>
  </si>
  <si>
    <t>इतनी ढेर सारी मुसब्बत बातें सुनने के बाद मैंने अचानक सवाल किया।</t>
  </si>
  <si>
    <t>itni dher sari musabbat baaten sunne ke baad maine achanak sawaal kiya.</t>
  </si>
  <si>
    <t>itni, maine</t>
  </si>
  <si>
    <t>common_voice_ur_31789596.wav</t>
  </si>
  <si>
    <t>آپ کو کوئی ایسی حرکت نہیں کرنی</t>
  </si>
  <si>
    <t>aap ko koi aisi harkat nahi karani</t>
  </si>
  <si>
    <t>आपको कोई ऐसी हरकत नहीं करनी।</t>
  </si>
  <si>
    <t>aapko koi aisi harakat nahi karni.</t>
  </si>
  <si>
    <t>common_voice_ur_31789691.wav</t>
  </si>
  <si>
    <t>مدینہ مگر ایک تکثیری معاشرہ تھا۔</t>
  </si>
  <si>
    <t>madina magar aik takasiri maaashra tha.</t>
  </si>
  <si>
    <t>मदीना मगर एक तकसीरी माशरा था।</t>
  </si>
  <si>
    <t>madeena magar ek takaseeri maashra tha.</t>
  </si>
  <si>
    <t>common_voice_ur_31789693.wav</t>
  </si>
  <si>
    <t>جہاں باپ اور بھائیوں کو بھینٹ چڑھا دیا جاتا ہے۔</t>
  </si>
  <si>
    <t>jhaan baap aur bhaaiion ko bhinat charha diya jaata hai.</t>
  </si>
  <si>
    <t>जहाँ बाप और भाइयों को भेंट चढ़ाया दिया जाता है।</t>
  </si>
  <si>
    <t>jahaan baap aur bhaaiyon ko bhent charhaya diya jaata hai.</t>
  </si>
  <si>
    <t>common_voice_ur_31801431.wav</t>
  </si>
  <si>
    <t>ڈیرن سیمی کا نرالا انداز کرتا زیب تن کرلیا</t>
  </si>
  <si>
    <t>diran simi ka narala andaaz karta zib tan karaliaa</t>
  </si>
  <si>
    <t>डैरेंस हमीन का निराला अंदाज करता जेब तन कर लिया।</t>
  </si>
  <si>
    <t>dairens hameen ka nirala andaaj karta jeb tan kar liya.</t>
  </si>
  <si>
    <t>dairens, hameen, jeb, kar, liya</t>
  </si>
  <si>
    <t>common_voice_ur_31813852.wav</t>
  </si>
  <si>
    <t>ٹام کچھ کہنے ہی والا تھا۔</t>
  </si>
  <si>
    <t>taam kachh kahane hi oaala tha.</t>
  </si>
  <si>
    <t>टॉम कुछ कहने ही वाला था।</t>
  </si>
  <si>
    <t>tom kuch kahne hi wala tha.</t>
  </si>
  <si>
    <t>tom, kuch, wala</t>
  </si>
  <si>
    <t>common_voice_ur_31813855.wav</t>
  </si>
  <si>
    <t>یہاں منڈی میں بالآخر کسی قِسم کی فہم ہے وہ کہتی ہے</t>
  </si>
  <si>
    <t>yhaan manadi mein balaakhar kasi qisam ki faham hai woh kahati hai</t>
  </si>
  <si>
    <t>ये मंडी में बिल्कुल किसी काम की फिल्म है वो कहती है।</t>
  </si>
  <si>
    <t>yeh mandi mein bilkul kisi kaam ki film hai woh kahti hai.</t>
  </si>
  <si>
    <t>yeh, bilkul, kaam, film</t>
  </si>
  <si>
    <t>common_voice_ur_31813894.wav</t>
  </si>
  <si>
    <t>ویسٹ انڈیز کی ٹیم کراچی پہنچ گئی</t>
  </si>
  <si>
    <t>oisat anadiz ki tim Karachi pahnach gayi</t>
  </si>
  <si>
    <t>वेस्टइंडीज की टीम कराची पहुंच गई।</t>
  </si>
  <si>
    <t>westaindeej ki team Karachi pahunch gai.</t>
  </si>
  <si>
    <t>westaindeej, team</t>
  </si>
  <si>
    <t>common_voice_ur_31813900.wav</t>
  </si>
  <si>
    <t>ماہرین کا خیال ہے کہ پھل اور سبزیاں انسانی خوراک کا لازمی جز ہونی چاہئیں</t>
  </si>
  <si>
    <t>maaharin ka khayal hai ke phal aur sabaziaan anasani khoraak ka laazami jaz honi chaahaiin</t>
  </si>
  <si>
    <t>मेरे इनका ख्याल है कि पाल और सब्जियां इंसानी खाने का आवश्यक जूस होनी चाहिए।</t>
  </si>
  <si>
    <t>mere inka khyaal hai ki paal aur sabjiyaan insani khane ka aawashyak juice honi chahiye.</t>
  </si>
  <si>
    <t>mere, inka, khyaal, hai, ki, paal, aur, sabjiyaan, insani, khane, aawashyak, juice, chahiye</t>
  </si>
  <si>
    <t>common_voice_ur_31813944.wav</t>
  </si>
  <si>
    <t>احسان مانی اسد خان کی پی سی بی گورننگ باڈی میں نامزدگی نوٹیفکیشن جاری</t>
  </si>
  <si>
    <t>ahsaan mani asad khaan ki pi si B gornanag badi mein naamzadagi notifakishan jari</t>
  </si>
  <si>
    <t>ऐसानमानी असद खान की PCB गवर्निंग बॉडी में नामजदगी नोटिफिकेशन जारी</t>
  </si>
  <si>
    <t>aisaanamani asad khaan ki PCB gawarning bodi mein naamajadgi notiphikeshan jari</t>
  </si>
  <si>
    <t>aisaanamani, pcb, gawarning</t>
  </si>
  <si>
    <t>common_voice_ur_31813964.wav</t>
  </si>
  <si>
    <t>کیا شریف خاندان کو ان کے سوالات کے جواب ملیں گے؟</t>
  </si>
  <si>
    <t>kya sharif khaandaan ko in ke soalaat ke joaab malin ge?</t>
  </si>
  <si>
    <t>क्या शरीफ खानदान को इनके सवालात के जवाब मिलेंगे?</t>
  </si>
  <si>
    <t>kya shareeph khaanadaan ko inke sawaalaat ke jawaab milenge?</t>
  </si>
  <si>
    <t>shareeph, inke, sawaalaat, milenge</t>
  </si>
  <si>
    <t>common_voice_ur_31813966.wav</t>
  </si>
  <si>
    <t>اور ہمارے کھلاڑیوں نے بھی ہمیں مایوس نہیں کیا</t>
  </si>
  <si>
    <t>aur humare khlaarion ne bhi hamin maaios nahi kya</t>
  </si>
  <si>
    <t>और हमारे खिलाड़ियों ने भी हमें मायूस नहीं किया।</t>
  </si>
  <si>
    <t>aur hamare khilaariyon ne bhi hamein maayoos nahi kiya.</t>
  </si>
  <si>
    <t>common_voice_ur_31813968.wav</t>
  </si>
  <si>
    <t>بچوں کو سلا دو</t>
  </si>
  <si>
    <t>bachon ko sala do</t>
  </si>
  <si>
    <t>बच्चों को सलाह दो।</t>
  </si>
  <si>
    <t>bachchon ko salaah do.</t>
  </si>
  <si>
    <t>common_voice_ur_31813969.wav</t>
  </si>
  <si>
    <t>ملک میں بڑے بڑے کاروبار شروع کر رکھے ہیں</t>
  </si>
  <si>
    <t>malak mein bare bare kaarobaar sharo kar rakhe hain</t>
  </si>
  <si>
    <t>मुल्क में बड़े बड़े पर्यावरण शुरू कर रखे हैं।</t>
  </si>
  <si>
    <t>mulk mein bare bare paryaawaran shuroo kar rakhe hain.</t>
  </si>
  <si>
    <t>mulk, paryaawaran</t>
  </si>
  <si>
    <t>common_voice_ur_31813971.wav</t>
  </si>
  <si>
    <t>میں دنیا کی ساتویں ایٹمی طاقت اور دنیا کے پانچویں بڑے مُلک کا وزیراطلاعات ہوں</t>
  </si>
  <si>
    <t>mein daniaa ki saatoin aitami taaqat aur daniaa ke paanachoin bare mulak ka oziraatlaaaat hoon</t>
  </si>
  <si>
    <t>मैं दुनिया की सातवीं एडवेंचर ताकत और दुनिया की पांचवीं बड़े मुद्दे का वजीरेत्लात हूँ।</t>
  </si>
  <si>
    <t>main duniya ki saatawin edawenchar taakat aur duniya ki paanchawin bare mudde ka wajeeretlaat hoon.</t>
  </si>
  <si>
    <t>duniya, edawenchar, duniya, ki, mudde, wajeeretlaat</t>
  </si>
  <si>
    <t>common_voice_ur_31813974.wav</t>
  </si>
  <si>
    <t>جب پاکستان آتے ہیں تو پاکستانی پاسپورٹ نکال لیتے ہیں</t>
  </si>
  <si>
    <t>jab Pakistan aate hain to Pakistani paasaporat nkaal lite hain</t>
  </si>
  <si>
    <t>जब पाकिस्तान आते हैं तो पाकिस्तानी पासपोर्ट निकाल लेते हैं।</t>
  </si>
  <si>
    <t>jab Pakistan aate hain to paakistani paasaport nikaal lete hain.</t>
  </si>
  <si>
    <t>common_voice_ur_31813994.wav</t>
  </si>
  <si>
    <t>میں ان سوالات کی گرفت میں ہوں۔</t>
  </si>
  <si>
    <t>mein in soalaat ki garfat mein hoon.</t>
  </si>
  <si>
    <t>मैं इन सवालात की गिरफ्त में हूँ।</t>
  </si>
  <si>
    <t>main in sawaalaat ki girapht mein hoon.</t>
  </si>
  <si>
    <t>girapht</t>
  </si>
  <si>
    <t>common_voice_ur_31814003.wav</t>
  </si>
  <si>
    <t>تھانوں میں ہوتی ہو، میری حفاظت کے لیے تو نہیں ہے۔</t>
  </si>
  <si>
    <t>thaanon mein hoti ho, meri hfaazat ke liye to nahi hai.</t>
  </si>
  <si>
    <t>थानों में होती हो मेरी अफ़ाज़द के लिए तो नहीं है।</t>
  </si>
  <si>
    <t>thaanon mein hoti ho meri afaazad ke liye to nahi hai.</t>
  </si>
  <si>
    <t>common_voice_ur_31814004.wav</t>
  </si>
  <si>
    <t>غیر متوقع دعوتوں کو پسند کرتا ہوں</t>
  </si>
  <si>
    <t>ghir matoqa daoton ko pasnad karta hoon</t>
  </si>
  <si>
    <t>गैर मतवका दावतों को पसंद करता हूँ।</t>
  </si>
  <si>
    <t>gair matawka daawaton ko pasand karta hoon.</t>
  </si>
  <si>
    <t>matawka</t>
  </si>
  <si>
    <t>common_voice_ur_31814005.wav</t>
  </si>
  <si>
    <t>تم مجھ سے ناراض کیوں ہو؟</t>
  </si>
  <si>
    <t>tum majh se naraaz kyun ho?</t>
  </si>
  <si>
    <t>तुम मुझसे नाराज क्यों हो?</t>
  </si>
  <si>
    <t>tum mujhse naaraaj kyon ho?</t>
  </si>
  <si>
    <t>mujhse</t>
  </si>
  <si>
    <t>common_voice_ur_31814052.wav</t>
  </si>
  <si>
    <t>اگلے ماہ پاکستان ویسٹ انڈیز کا دورہ کرے گا</t>
  </si>
  <si>
    <t>agle ma Pakistan oisat anadiz ka daura kare ga</t>
  </si>
  <si>
    <t>अगले माह पाकिस्तान वेस्ट इंडीज का दौरा करेगा।</t>
  </si>
  <si>
    <t>agle maah Pakistan west indeej ka daura karega.</t>
  </si>
  <si>
    <t>maah, west, indeej</t>
  </si>
  <si>
    <t>common_voice_ur_31814054.wav</t>
  </si>
  <si>
    <t>انسان نے جبر سے آزادی کے لیے ایک طویل سفر کیا ہے۔</t>
  </si>
  <si>
    <t>ansaan ne jabar se aazadi ke liye aik toil safar kya hai.</t>
  </si>
  <si>
    <t>इंसान ने जबर से आजादी के लिए एक तवील सफर किया है।</t>
  </si>
  <si>
    <t>insaan ne jabar se aajadi ke liye ek taweel saphar kiya hai.</t>
  </si>
  <si>
    <t>ek, taweel</t>
  </si>
  <si>
    <t>common_voice_ur_31814055.wav</t>
  </si>
  <si>
    <t>گوادر مستقبل کا دبئی ثابت ہوگا برطانوی اخبار</t>
  </si>
  <si>
    <t>goaadar mastaqbal ka dabaii saabat hoga bartaanoi akhbaar</t>
  </si>
  <si>
    <t>دوادر مستقبل کد وی سوابط هوگر باتر می اخبار.</t>
  </si>
  <si>
    <t>دوادر, مستقبل, کد, وی, سوابط, هوگر, باتر, می, اخبار</t>
  </si>
  <si>
    <t>common_voice_ur_31814056.wav</t>
  </si>
  <si>
    <t>ان کی للکار تو اب بھی ویسے ہی ہے۔</t>
  </si>
  <si>
    <t>in ki lalkaar to ab bhi oise hi hai.</t>
  </si>
  <si>
    <t>इनकी लाकार तो अब भी वैसी ही है।</t>
  </si>
  <si>
    <t>inki laakaar to ab bhi waisi hi hai.</t>
  </si>
  <si>
    <t>inki, waisi</t>
  </si>
  <si>
    <t>common_voice_ur_31814094.wav</t>
  </si>
  <si>
    <t>افسوس کہ آج دین خیر خواہی نہیں، عصبیت کا نام ہے۔</t>
  </si>
  <si>
    <t>afasos ke aaj din khir khoaahi nahi, sabit ka naam hai.</t>
  </si>
  <si>
    <t>अफसोस के आज दिन खैर कोई नहीं अपसीयत का नाम है।</t>
  </si>
  <si>
    <t>aphasos ke aaj din khair koi nahi apaseeyat ka naam hai.</t>
  </si>
  <si>
    <t>koi, apaseeyat</t>
  </si>
  <si>
    <t>common_voice_ur_31814111.wav</t>
  </si>
  <si>
    <t>مہم جو ہوں</t>
  </si>
  <si>
    <t>maham jo hoon</t>
  </si>
  <si>
    <t>Moham Jojo.</t>
  </si>
  <si>
    <t>jojo</t>
  </si>
  <si>
    <t>common_voice_ur_31814112.wav</t>
  </si>
  <si>
    <t>وہ ماحول پاکستان کا ماحول نہیں ہے۔</t>
  </si>
  <si>
    <t>woh maahol Pakistan ka maahol nahi hai.</t>
  </si>
  <si>
    <t>वो माहौल पाकिस्तान का माहौल नहीं है।</t>
  </si>
  <si>
    <t>woh maahaul Pakistan ka maahaul nahi hai.</t>
  </si>
  <si>
    <t>common_voice_ur_31814113.wav</t>
  </si>
  <si>
    <t>ضبوط حریف کے خلاف شروع ہونے</t>
  </si>
  <si>
    <t>zabot harif ke khlaaf sharo hone</t>
  </si>
  <si>
    <t>مجبورت هریف که خلاف شروع کرده.</t>
  </si>
  <si>
    <t>مجبورت, هریف, که, خلاف, شروع, کرده</t>
  </si>
  <si>
    <t>common_voice_ur_31814157.wav</t>
  </si>
  <si>
    <t>اداکارہ سمرن کیسی خوبصورتی ہے</t>
  </si>
  <si>
    <t>daakara samran kisi khobasorati hai</t>
  </si>
  <si>
    <t>अदकारा समरन कैसी खूबसूरती हैं?</t>
  </si>
  <si>
    <t>adakara samaran kaisi khoobasoorti hain?</t>
  </si>
  <si>
    <t>common_voice_ur_31814158.wav</t>
  </si>
  <si>
    <t>مارکس کے ہاں یہ طبقاتی کشمکش ہے۔</t>
  </si>
  <si>
    <t>maarkas ke haan yeh tabaqati kashmakash hai.</t>
  </si>
  <si>
    <t>मार्कस के ये तिब्बत की कश्मोकश हैं।</t>
  </si>
  <si>
    <t>maarkas ke yeh tibbat ki kashmokash hain.</t>
  </si>
  <si>
    <t>tibbat, ki</t>
  </si>
  <si>
    <t>common_voice_ur_31814180.wav</t>
  </si>
  <si>
    <t>خاندان، علاقہ، خیالات اشتراک کے بہت سے زاویے ہیں۔</t>
  </si>
  <si>
    <t>khaandaan, laqa, khialaat ashtraak ke bahat se zaaoie hain.</t>
  </si>
  <si>
    <t>खंडान हैलाका में ख़यालात इस्तरा के बोध से जाविये हैं।</t>
  </si>
  <si>
    <t>khandaan hailaka mein khayaalaat istara ke bodh se jaawiye hain.</t>
  </si>
  <si>
    <t>hailaka, mein, istara, bodh, jaawiye</t>
  </si>
  <si>
    <t>common_voice_ur_31814181.wav</t>
  </si>
  <si>
    <t>نظر میں وہ صرف ایک ماڈل ہیں</t>
  </si>
  <si>
    <t>nazar mein woh saraf aik maadal hain</t>
  </si>
  <si>
    <t>नजर में वो सिर्फ एक मॉडल है।</t>
  </si>
  <si>
    <t>najar mein woh sirf ek modal hai.</t>
  </si>
  <si>
    <t>sirf, ek</t>
  </si>
  <si>
    <t>common_voice_ur_31814182.wav</t>
  </si>
  <si>
    <t>یہ کام برسوں محنت اور تسلسل کے ساتھ کیا گیا ہے۔</t>
  </si>
  <si>
    <t>yeh kaam barason mehnat aur taslasal ke saath kya gaya hai.</t>
  </si>
  <si>
    <t>ये काम बरसों मेहनत और तसल्ली के साथ किया गया है।</t>
  </si>
  <si>
    <t>yeh kaam barason mehanat aur tasalli ke saath kiya gaya hai.</t>
  </si>
  <si>
    <t>tasalli</t>
  </si>
  <si>
    <t>common_voice_ur_31814183.wav</t>
  </si>
  <si>
    <t>جو چاہے کر سکتے تھے۔</t>
  </si>
  <si>
    <t>jo chahe kar sakate thay.</t>
  </si>
  <si>
    <t>जो चाहे कर सकते थे।</t>
  </si>
  <si>
    <t>jo chahe kar sakte the.</t>
  </si>
  <si>
    <t>the</t>
  </si>
  <si>
    <t>common_voice_ur_31814185.wav</t>
  </si>
  <si>
    <t>دوسرے اس موقع پر جب کوئی عالمِ دین کسی خاص واقعے کے حوالے سے اپنا قانونی فیصلہ صادر کرتا ہے</t>
  </si>
  <si>
    <t>dosare is moqa par jab koi aalami din kasi khaas oaaqae ke hoaale se apna qaanoni faisla saadar karta hai</t>
  </si>
  <si>
    <t>दूसरे इस मौके पर जब कोई आलमेदीन किसी खास वाकई के कवाले से अपना कानूनी फैसला सदार करता है।</t>
  </si>
  <si>
    <t>doosre is mauke par jab koi aalamedeen kisi khaas waakai ke kawale se apna kaanooni faisla sadaar karta hai.</t>
  </si>
  <si>
    <t>mauke, aalamedeen, waakai, kawale</t>
  </si>
  <si>
    <t>common_voice_ur_31814217.wav</t>
  </si>
  <si>
    <t>حکومت میں جو اختلاف دکھائی دے رہا ہے اس کا بڑا</t>
  </si>
  <si>
    <t>hakomat mein jo akhtlaaf dikhayi de raha hai is ka bara</t>
  </si>
  <si>
    <t>अकुमत में जो एकतालाफ़ दिखाई दे रहा है इसका बड़ा</t>
  </si>
  <si>
    <t>akumat mein jo ekataalaaf dikhaai de raha hai iska bara</t>
  </si>
  <si>
    <t>ekataalaaf, iska</t>
  </si>
  <si>
    <t>common_voice_ur_31814220.wav</t>
  </si>
  <si>
    <t>پاکستان کے آئین و قانون کے مطابق</t>
  </si>
  <si>
    <t>Pakistan ke aaiin o qaanon ke mtaabaq</t>
  </si>
  <si>
    <t>पाकिस्तान के आयनो कानून के मुताबिक.</t>
  </si>
  <si>
    <t>Pakistan ke aayno kaanoon ke mutaabik.</t>
  </si>
  <si>
    <t>aayno, mutaabik</t>
  </si>
  <si>
    <t>common_voice_ur_31814233.wav</t>
  </si>
  <si>
    <t>انہیں سمجھنا چاہیے کہ حکومت ایک صبر آزما کام ہے۔</t>
  </si>
  <si>
    <t>anahin samjhana chahiye ke hakomat aik sabar aazama kaam hai.</t>
  </si>
  <si>
    <t>उन्हें समझना चाहिए कि हकूमत एक सबर अजमा काम है।</t>
  </si>
  <si>
    <t>unhein samajhna chahiye ki hakoomat ek sabar ajma kaam hai.</t>
  </si>
  <si>
    <t>unhein, ki, ek, ajma</t>
  </si>
  <si>
    <t>common_voice_ur_31814284.wav</t>
  </si>
  <si>
    <t>آگے کیا ہوتا ہے۔</t>
  </si>
  <si>
    <t>aage kya hota hai.</t>
  </si>
  <si>
    <t>आगे क्या होता है?</t>
  </si>
  <si>
    <t>aage kya hota hai?</t>
  </si>
  <si>
    <t>common_voice_ur_31820111.wav</t>
  </si>
  <si>
    <t>وہ توانائی اورافادیت کھو بیٹھی ہے۔</t>
  </si>
  <si>
    <t>woh toanaaii aorafaadit kho bithi hai.</t>
  </si>
  <si>
    <t>वो दवानाई और रफादियत खो बैठी है।</t>
  </si>
  <si>
    <t>woh dawaanaai aur raphaadiyat kho baithi hai.</t>
  </si>
  <si>
    <t>dawaanaai, aur, raphaadiyat</t>
  </si>
  <si>
    <t>common_voice_ur_31820112.wav</t>
  </si>
  <si>
    <t>اس کا حلیہ ہم نے بگاڑ کے رکھ دیا۔</t>
  </si>
  <si>
    <t>is ka hali hum ne bgaar ke rakh diya.</t>
  </si>
  <si>
    <t>उसका हुलिया हमने बिगाड़ के रख दिया।</t>
  </si>
  <si>
    <t>uska huliya humne bigaar ke rakh diya.</t>
  </si>
  <si>
    <t>uska, huliya</t>
  </si>
  <si>
    <t>common_voice_ur_31820113.wav</t>
  </si>
  <si>
    <t>وہ ایسے ہی رہیں گے۔</t>
  </si>
  <si>
    <t>woh aise hi rahin ge.</t>
  </si>
  <si>
    <t>वो ऐसे ही रहेंगे।</t>
  </si>
  <si>
    <t>woh aise hi rahenge.</t>
  </si>
  <si>
    <t>rahenge</t>
  </si>
  <si>
    <t>common_voice_ur_31820119.wav</t>
  </si>
  <si>
    <t>کاروبار بھی ہے۔</t>
  </si>
  <si>
    <t>kaarobaar bhi hai.</t>
  </si>
  <si>
    <t>कारोबार भी है.</t>
  </si>
  <si>
    <t>common_voice_ur_31820120.wav</t>
  </si>
  <si>
    <t>دِل کو دِل سے راہ ہوتی ہے</t>
  </si>
  <si>
    <t>dil ko dil se ra hoti hai</t>
  </si>
  <si>
    <t>देल को दिल से राह होती है।</t>
  </si>
  <si>
    <t>del ko dil se raah hoti hai.</t>
  </si>
  <si>
    <t>del, raah</t>
  </si>
  <si>
    <t>common_voice_ur_31820122.wav</t>
  </si>
  <si>
    <t>کا مکمل کنٹرول ہے۔</t>
  </si>
  <si>
    <t>ka makmal kantarol hai.</t>
  </si>
  <si>
    <t>कामुकमल कंट्रोल है।</t>
  </si>
  <si>
    <t>kaamukamal kantrol hai.</t>
  </si>
  <si>
    <t>kaamukamal</t>
  </si>
  <si>
    <t>common_voice_ur_31820137.wav</t>
  </si>
  <si>
    <t>تو اسے اپنا مقدمہ عدالت کے سامنے پیش کرنا چاہیے۔</t>
  </si>
  <si>
    <t>to isay apna maqdama daalat ke saamane pish karna chahiye.</t>
  </si>
  <si>
    <t>तो वैसे अपना मुकदमा अदालत के सामने पेश करना चाहिए।</t>
  </si>
  <si>
    <t>to waise apna mukadma adaalat ke saamne pesh karna chahiye.</t>
  </si>
  <si>
    <t>waise, mukadma</t>
  </si>
  <si>
    <t>common_voice_ur_31820155.wav</t>
  </si>
  <si>
    <t>اس کی یاد دہانی پیغمبروں کے ذریعے کرائی جاتی ہے۔</t>
  </si>
  <si>
    <t>is ki iaad dahani pighmabaron ke zarie kraaii jati hai.</t>
  </si>
  <si>
    <t>इसकी याद दिहानी पैगामेरों के जरिए कराई जाती है।</t>
  </si>
  <si>
    <t>iski yaad dihani paigaameron ke jarie karaai jati hai.</t>
  </si>
  <si>
    <t>iski, paigaameron</t>
  </si>
  <si>
    <t>common_voice_ur_31820159.wav</t>
  </si>
  <si>
    <t>اعلانیہ وغیر اعلانیہ سیاسی اتحادیوں کو ساتھ</t>
  </si>
  <si>
    <t>alani oghir alani siaasi athaadion ko saath</t>
  </si>
  <si>
    <t>एलानिया और गैर-एलानिया सियासी इत्तेहादियों को साथ</t>
  </si>
  <si>
    <t>elaaniya aur gair-elaaniya siyasi ittehaadiyon ko saath</t>
  </si>
  <si>
    <t>elaaniya, aur, gairelaaniya</t>
  </si>
  <si>
    <t>common_voice_ur_31820162.wav</t>
  </si>
  <si>
    <t>لیکن اس سب کے باوجود</t>
  </si>
  <si>
    <t>lekin is sab ke baaojod</t>
  </si>
  <si>
    <t>लेकिन इस सब के बावजूद</t>
  </si>
  <si>
    <t>lekin is sab ke baawajood</t>
  </si>
  <si>
    <t>common_voice_ur_31820174.wav</t>
  </si>
  <si>
    <t>دوسروں کے ساتھ آسانی سے کام کر سکتا ہوں</t>
  </si>
  <si>
    <t>dosaron ke saath aasani se kaam kar sakta hoon</t>
  </si>
  <si>
    <t>दूसरों के साथ आसानी से काम कर सकता हूँ।</t>
  </si>
  <si>
    <t>doosaron ke saath aasani se kaam kar sakta hoon.</t>
  </si>
  <si>
    <t>common_voice_ur_31820176.wav</t>
  </si>
  <si>
    <t>قانون دوبئی اور بنکاک میں بھی ہے۔</t>
  </si>
  <si>
    <t>qaanon dobaii aur bankaak mein bhi hai.</t>
  </si>
  <si>
    <t>कानून दुबई और बैंकॉक में भी है।</t>
  </si>
  <si>
    <t>kaanoon Dubai aur bainkok mein bhi hai.</t>
  </si>
  <si>
    <t>common_voice_ur_31820180.wav</t>
  </si>
  <si>
    <t>پہلے انتہا پسندی کو گلے سے لگایا۔</t>
  </si>
  <si>
    <t>pehle antaha pasnadi ko gale se lgaaiaa.</t>
  </si>
  <si>
    <t>पहले इंतिहा पसंदी को गले से लगाया।</t>
  </si>
  <si>
    <t>pahle intiha pasandi ko gale se lagaya.</t>
  </si>
  <si>
    <t>intiha, lagaya</t>
  </si>
  <si>
    <t>common_voice_ur_31820198.wav</t>
  </si>
  <si>
    <t>دوسری طرف ڈھلوان</t>
  </si>
  <si>
    <t>dosari taraf dhaloaan</t>
  </si>
  <si>
    <t>दूसरी तरफ दिलवान</t>
  </si>
  <si>
    <t>doosri taraph dilawaan</t>
  </si>
  <si>
    <t>dilawaan</t>
  </si>
  <si>
    <t>common_voice_ur_31820201.wav</t>
  </si>
  <si>
    <t>لیکن کچھ ذکر چکوال کا بھی ہو جائے۔</t>
  </si>
  <si>
    <t>lekin kachh zakar chakoaal ka bhi ho jaiye.</t>
  </si>
  <si>
    <t>लेकिन कुछ जिक्र चक्वाल का भी हो जाए।</t>
  </si>
  <si>
    <t>lekin kuch jikr chakwaal ka bhi ho jaaye.</t>
  </si>
  <si>
    <t>kuch, jikr</t>
  </si>
  <si>
    <t>common_voice_ur_31820211.wav</t>
  </si>
  <si>
    <t>جو کچھ میرا ہے وہ تمہارا ہے</t>
  </si>
  <si>
    <t>jo kachh mera hai woh tumhara hai</t>
  </si>
  <si>
    <t>जो कुछ मेरा है वो तुम्हारा है।</t>
  </si>
  <si>
    <t>jo kuch mera hai woh tumhara hai.</t>
  </si>
  <si>
    <t>kuch</t>
  </si>
  <si>
    <t>common_voice_ur_31820219.wav</t>
  </si>
  <si>
    <t>ان کی گاڑی ایک ٹرک سے</t>
  </si>
  <si>
    <t>in ki gaadi aik tarak se</t>
  </si>
  <si>
    <t>इनकी गाड़ी एक ट्रक से</t>
  </si>
  <si>
    <t>inki gaadi ek trak se</t>
  </si>
  <si>
    <t>inki, ek</t>
  </si>
  <si>
    <t>common_voice_ur_31820220.wav</t>
  </si>
  <si>
    <t>یہ کوئی عجوبہ نہیں سمجھا جاتا تھا۔</t>
  </si>
  <si>
    <t>yeh koi joba nahi samajha jaata tha.</t>
  </si>
  <si>
    <t>ये कोई अजूबा नहीं समझा जाता था।</t>
  </si>
  <si>
    <t>yeh koi ajooba nahi samjha jaata tha.</t>
  </si>
  <si>
    <t>common_voice_ur_31820221.wav</t>
  </si>
  <si>
    <t>حقیقت کچھ اور ہے۔</t>
  </si>
  <si>
    <t>haqiqat kachh aur hai.</t>
  </si>
  <si>
    <t>अजीगत कुछ और है।</t>
  </si>
  <si>
    <t>ajeegat kuch aur hai.</t>
  </si>
  <si>
    <t>ajeegat, kuch</t>
  </si>
  <si>
    <t>common_voice_ur_31820229.wav</t>
  </si>
  <si>
    <t>حضرت انس رضی اللہ عنہ سے روایت ہے</t>
  </si>
  <si>
    <t>hazrat anas razi alla na se roaait hai</t>
  </si>
  <si>
    <t>حضرت انس رضی اللہ عنہ از آنهاهای روایه ته.</t>
  </si>
  <si>
    <t>حضرت, انس, رضی, اللہ, عنہ, از, آنهاهای, روایه, ته</t>
  </si>
  <si>
    <t>common_voice_ur_31820231.wav</t>
  </si>
  <si>
    <t>دوسرا متعلقہ شناخت نہیں ہوا تھا</t>
  </si>
  <si>
    <t>dosara matlaqa shnaakhat nahi hua tha</t>
  </si>
  <si>
    <t>दूसरा मुताल्ले का शनाक नहीं हुआ था।</t>
  </si>
  <si>
    <t>doosra mutaalle ka shanaak nahi hua tha.</t>
  </si>
  <si>
    <t>mutaalle, ka</t>
  </si>
  <si>
    <t>common_voice_ur_31820232.wav</t>
  </si>
  <si>
    <t>وہ کیا کر رہے ہیں؟</t>
  </si>
  <si>
    <t>woh kya kar rahe hain?</t>
  </si>
  <si>
    <t>वो क्या कर रहे हैं?</t>
  </si>
  <si>
    <t>common_voice_ur_31820241.wav</t>
  </si>
  <si>
    <t>سٹریلیا اور عثمان خواجہ نے متعدد ریکارڈز پاش پاش کر دیے</t>
  </si>
  <si>
    <t>satariliaa aur smaan khoaaja ne matdad rikaardaz paash paash kar diye</t>
  </si>
  <si>
    <t>Australia's Usman Khwaja ne mutada record pas pas kardiye.</t>
  </si>
  <si>
    <t>australias, mutada, record</t>
  </si>
  <si>
    <t>common_voice_ur_31820243.wav</t>
  </si>
  <si>
    <t>پہلے مرحلے میں انتظامیہ اپنے ملازمین کو ویکسین لگائے گی</t>
  </si>
  <si>
    <t>pehle marhale mein antazami apane mlaazamin ko oikasin lgaaie gi</t>
  </si>
  <si>
    <t>पहले मरहले में इंतजामिया अपनी मुलाजमीन को वैक्सीन लगाएगी।</t>
  </si>
  <si>
    <t>pahle marahle mein intajaamiya apni mulaajameen ko waikseen lagaaegi.</t>
  </si>
  <si>
    <t>intajaamiya, apni, waikseen</t>
  </si>
  <si>
    <t>common_voice_ur_31820244.wav</t>
  </si>
  <si>
    <t>بلکہ انہیں اور سختی برتنی چاہیے۔</t>
  </si>
  <si>
    <t>balka anahin aur sakhati bartani chahiye.</t>
  </si>
  <si>
    <t>बल्कि इन्हें और सख्ती बरतनी चाहिए।</t>
  </si>
  <si>
    <t>balki inhein aur sakhti baratni chahiye.</t>
  </si>
  <si>
    <t>inhein</t>
  </si>
  <si>
    <t>common_voice_ur_31820269.wav</t>
  </si>
  <si>
    <t>دیکھیے اب جماعت اسلامی کا کیا موقف سامنے آتا ہے۔</t>
  </si>
  <si>
    <t>dikhie ab jmaat asalami ka kya moqaf saamane aata hai.</t>
  </si>
  <si>
    <t>देखिए अब जमाते इस्लामी का क्या मुआक़िफ़ सामने आता है?</t>
  </si>
  <si>
    <t>dekhiye ab jamate islami ka kya muaaqif saamne aata hai?</t>
  </si>
  <si>
    <t>muaaqif</t>
  </si>
  <si>
    <t>common_voice_ur_31820272.wav</t>
  </si>
  <si>
    <t>جمہوریت کا اس پہ کچھ تو اثر پڑتا۔</t>
  </si>
  <si>
    <t>jamahorit ka is pa kachh to asar parata.</t>
  </si>
  <si>
    <t>जम्हूरियत कैसे पर कुछ तुवासर पड़ता.</t>
  </si>
  <si>
    <t>jamhooriyat kaise par kuch tuwaasar parta.</t>
  </si>
  <si>
    <t>kaise, kuch, tuwaasar</t>
  </si>
  <si>
    <t>common_voice_ur_31820274.wav</t>
  </si>
  <si>
    <t>ہر طرف سے پٹ رہے تھے۔</t>
  </si>
  <si>
    <t>har taraf se pat rahe thay.</t>
  </si>
  <si>
    <t>हर तरफ से पिट रहे थे।</t>
  </si>
  <si>
    <t>har taraph se pit rahe the.</t>
  </si>
  <si>
    <t>pit, the</t>
  </si>
  <si>
    <t>common_voice_ur_31820282.wav</t>
  </si>
  <si>
    <t>بابا جی بھی ہاں میں ہاں ملا رہے</t>
  </si>
  <si>
    <t>baba ji bhi haan mein haan mila rahe</t>
  </si>
  <si>
    <t>बाबाजी भी हाँ में हाँ मिला रहे हैं।</t>
  </si>
  <si>
    <t>baabaji bhi haan mein haan mila rahe hain.</t>
  </si>
  <si>
    <t>hain</t>
  </si>
  <si>
    <t>common_voice_ur_31820283.wav</t>
  </si>
  <si>
    <t>اس کا کیا مطلب ہے؟</t>
  </si>
  <si>
    <t>is ka kya matlab hai?</t>
  </si>
  <si>
    <t>इसका क्या मतलब है?</t>
  </si>
  <si>
    <t>iska kya matalab hai?</t>
  </si>
  <si>
    <t>iska</t>
  </si>
  <si>
    <t>common_voice_ur_31820284.wav</t>
  </si>
  <si>
    <t>تین روزہ عالمی کانفرنس موئن جو دڑو پر منعقد کررہے ہیں</t>
  </si>
  <si>
    <t>teen roza aalami kaanfarnas moin jo daro par manqad karrahe hain</t>
  </si>
  <si>
    <t>तीन रोजा आलमी कॉन्फ्रेंस मोइंज़ीगढ़ों पर मनाके तरहे हैं।</t>
  </si>
  <si>
    <t>teen roja aalmi konphrens moinzeegarhon par manake tarhe hain.</t>
  </si>
  <si>
    <t>konphrens, moinzeegarhon, manake, tarhe</t>
  </si>
  <si>
    <t>common_voice_ur_31820290.wav</t>
  </si>
  <si>
    <t>جب کہ قرآن خوانی کی محافل بھی منعقد کی جائیں گی۔</t>
  </si>
  <si>
    <t>jab ke qraan khoaani ki mhaafal bhi manqad ki jaaiin gi.</t>
  </si>
  <si>
    <t>जबकि कुरान खानी की महाफिल भी मुलाकात की जाएंगी।</t>
  </si>
  <si>
    <t>jabki kuraan khani ki mahaaphil bhi mulaakaat ki jaaengi.</t>
  </si>
  <si>
    <t>mahaaphil, mulaakaat, jaaengi</t>
  </si>
  <si>
    <t>common_voice_ur_31820291.wav</t>
  </si>
  <si>
    <t>یہ فضول کی باتیں ہیں۔</t>
  </si>
  <si>
    <t>yeh fazol ki baatin hain.</t>
  </si>
  <si>
    <t>ये फिजूल की बातें हैं।</t>
  </si>
  <si>
    <t>yeh phijool ki baaten hain.</t>
  </si>
  <si>
    <t>phijool</t>
  </si>
  <si>
    <t>common_voice_ur_31820292.wav</t>
  </si>
  <si>
    <t>بات سمجھنے کی ہے۔</t>
  </si>
  <si>
    <t>baat samjhane ki hai.</t>
  </si>
  <si>
    <t>बात समझने की है।</t>
  </si>
  <si>
    <t>baat samajhne ki hai.</t>
  </si>
  <si>
    <t>common_voice_ur_31820294.wav</t>
  </si>
  <si>
    <t>تو فرق کس بات میں ہے؟</t>
  </si>
  <si>
    <t>to faraq kis baat mein hai?</t>
  </si>
  <si>
    <t>तो फर्क किस बात में है?</t>
  </si>
  <si>
    <t>to phark kis baat mein hai?</t>
  </si>
  <si>
    <t>phark</t>
  </si>
  <si>
    <t>common_voice_ur_31820305.wav</t>
  </si>
  <si>
    <t>تو پھر جو کچھ ہے۔</t>
  </si>
  <si>
    <t>to phir jo kachh hai.</t>
  </si>
  <si>
    <t>तो फिर जो कुछ है.</t>
  </si>
  <si>
    <t>to phir jo kuch hai.</t>
  </si>
  <si>
    <t>common_voice_ur_31820306.wav</t>
  </si>
  <si>
    <t>فطری تعلق پاکستان اور پھر چین سے ہی ہو سکتا ہے۔</t>
  </si>
  <si>
    <t>fatari talaq Pakistan aur phir chin se hi ho sakta hai.</t>
  </si>
  <si>
    <t>पितृतालुक पाकिस्तान और फिर चीन से ही हो सकता है।</t>
  </si>
  <si>
    <t>pitritaaluk Pakistan aur phir China se hi ho sakta hai.</t>
  </si>
  <si>
    <t>pitritaaluk</t>
  </si>
  <si>
    <t>common_voice_ur_31820308.wav</t>
  </si>
  <si>
    <t>نظریاتی کونسل جب کوئی بات کہتی ہے۔</t>
  </si>
  <si>
    <t>nazariaati konsal jab koi baat kahati hai.</t>
  </si>
  <si>
    <t>नज़रियाती काउंसिल जब कोई बात कहती है</t>
  </si>
  <si>
    <t>nazariyati kaaunsil jab koi baat kahti hai</t>
  </si>
  <si>
    <t>kaaunsil</t>
  </si>
  <si>
    <t>common_voice_ur_31820309.wav</t>
  </si>
  <si>
    <t>کبھی ریاست مدینہ کی بات کرتے ہیں۔</t>
  </si>
  <si>
    <t>kabhi riaasat madina ki baat karate hain.</t>
  </si>
  <si>
    <t>कभी रियासतें मदीना की बात करते हैं।</t>
  </si>
  <si>
    <t>kabhi riyaasaten madeena ki baat karte hain.</t>
  </si>
  <si>
    <t>common_voice_ur_31820311.wav</t>
  </si>
  <si>
    <t>تو میرا خیال ہے کہ انہیں یہ موقع ضرور ملنا چاہیے۔</t>
  </si>
  <si>
    <t>to mera khayal hai ke anahin yeh moqa zaror milna chahiye.</t>
  </si>
  <si>
    <t>तो मेरा ख्याल है कि इन्हें ये मौका जरूर मिलना चाहिए।</t>
  </si>
  <si>
    <t>to mera khyaal hai ki inhein yeh mauka jaroor milna chahiye.</t>
  </si>
  <si>
    <t>ki, inhein, mauka</t>
  </si>
  <si>
    <t>common_voice_ur_31820314.wav</t>
  </si>
  <si>
    <t>وہ عوامی خطیبوں کی طرح جذبات سے نہیں کھیلتے تھے۔</t>
  </si>
  <si>
    <t>woh oaami khatibon ki tarah jazbaat se nahi khilate thay.</t>
  </si>
  <si>
    <t>वो आवामी खतिबों की तरह जसबात से नहीं खेलते हैं।</t>
  </si>
  <si>
    <t>woh aawami khatibon ki tarah jasabaat se nahi khelte hain.</t>
  </si>
  <si>
    <t>common_voice_ur_31820318.wav</t>
  </si>
  <si>
    <t>جہاں نئے کپڑوں اورنئے جوتوں کی بے پنا ہ خوشی تھی۔</t>
  </si>
  <si>
    <t>jhaan naie kaparon aornaie joton ki be pana  khoshi thi.</t>
  </si>
  <si>
    <t>जहाँ नए कपड़ों और नए जूतों की बेपनाह खुशी थी।</t>
  </si>
  <si>
    <t>jahaan nae kaparon aur nae jooton ki bepanaah khushi thi.</t>
  </si>
  <si>
    <t>aur, nae, bepanaah</t>
  </si>
  <si>
    <t>common_voice_ur_31822441.wav</t>
  </si>
  <si>
    <t>میں نے سکول اور اس کی تاریخ سے محبت کی</t>
  </si>
  <si>
    <t>mein ne sakol aur is ki taarikh se mahbat ki</t>
  </si>
  <si>
    <t>मैंने स्कूल और इसकी तारीफ से मोहब्बत की।</t>
  </si>
  <si>
    <t>maine school aur iski taareeph se mohabbat ki.</t>
  </si>
  <si>
    <t>maine, school, iski, taareeph, se, mohabbat</t>
  </si>
  <si>
    <t>common_voice_ur_31822443.wav</t>
  </si>
  <si>
    <t>علمی مشاہدے ان کی حیاتیات میں پائے گئے</t>
  </si>
  <si>
    <t>lami mashaahade in ki hiaatiaat mein paaie gaye</t>
  </si>
  <si>
    <t>इल्मी मुशाहिदे उनकी हेरातियात में पाए गए.</t>
  </si>
  <si>
    <t>ilmi mushaahide unki heraatiyaat mein paae gae.</t>
  </si>
  <si>
    <t>unki</t>
  </si>
  <si>
    <t>common_voice_ur_31822491.wav</t>
  </si>
  <si>
    <t>برامدی ارڈرز کی بھرمار ٹیکسٹائل سیکٹرکی پیداوار بڑھ گئی</t>
  </si>
  <si>
    <t>braamadi ardaraz ki bharmaar tikstaail siktaraki pidaaoaar barh gayi</t>
  </si>
  <si>
    <t>बरामदी ऑर्डर्स की भरमा टेक्साल सेक्टर की पैदावार बढ़ गई।</t>
  </si>
  <si>
    <t>baraamdi ordars ki bharma teksaal sektar ki paidaawaar barh gai.</t>
  </si>
  <si>
    <t>ordars, sektar, ki</t>
  </si>
  <si>
    <t>common_voice_ur_31822493.wav</t>
  </si>
  <si>
    <t>کتابی خیالات کو سمجھنے میں دشواری محسوس کرتا ہوں</t>
  </si>
  <si>
    <t>katabi khialaat ko samjhane mein dashoaari mahasos karta hoon</t>
  </si>
  <si>
    <t>किताबी خیالات को समझने में दुश्वारी महसूस करता हूँ।</t>
  </si>
  <si>
    <t>kitabi خیالات ko samajhne mein dushwari mahasoos karta hoon.</t>
  </si>
  <si>
    <t>خیالات</t>
  </si>
  <si>
    <t>common_voice_ur_31822494.wav</t>
  </si>
  <si>
    <t>کہ ٹیم سے باہر بیٹھے کھلاڑی ان سے کم تر کارکردگی کے حامل ہیں ۔</t>
  </si>
  <si>
    <t>ke tim se baahar bithe khalari in se kam tar kaarkardagi ke haamal hain .</t>
  </si>
  <si>
    <t>किटीम से बाहर बैठे खिलाड़ी उनसे कमतर कारकर्तीगी के हामिल हैं।</t>
  </si>
  <si>
    <t>kiteem se baahar baithe khilari unse kamatar kaarakarteegi ke haamil hain.</t>
  </si>
  <si>
    <t>kiteem, unse, kamatar</t>
  </si>
  <si>
    <t>common_voice_ur_31822501.wav</t>
  </si>
  <si>
    <t>یہاں کیا گرنا تھا؟</t>
  </si>
  <si>
    <t>yhaan kya garana tha?</t>
  </si>
  <si>
    <t>यहाँ क्या गिरना था?</t>
  </si>
  <si>
    <t>yahan kya girna tha?</t>
  </si>
  <si>
    <t>common_voice_ur_31822516.wav</t>
  </si>
  <si>
    <t>پاکستان میں صوبائی اور قومی الیکشن اسی سال مئی میں ہونے والے ہیں</t>
  </si>
  <si>
    <t>Pakistan mein sobaaii aur qomi alikshan asi saal maii mein hone oaale hain</t>
  </si>
  <si>
    <t>पाकिस्तान में सुबही और कॉमी इलेक्शन इसी साल मई में होने वाले हैं।</t>
  </si>
  <si>
    <t>Pakistan mein subhi aur komi ilekshan isi saal mai mein hone wale hain.</t>
  </si>
  <si>
    <t>subhi, isi, wale</t>
  </si>
  <si>
    <t>common_voice_ur_31822518.wav</t>
  </si>
  <si>
    <t>اورکریں بھی کیا؟</t>
  </si>
  <si>
    <t>aorkarin bhi kya?</t>
  </si>
  <si>
    <t>All Kareem Media.</t>
  </si>
  <si>
    <t>all, kareem, media</t>
  </si>
  <si>
    <t>common_voice_ur_31822519.wav</t>
  </si>
  <si>
    <t>یہ کہانی میں کئی دفعہ سنا چکا ہوں۔</t>
  </si>
  <si>
    <t>yeh kahani mein kaii dafa suna chaka hoon.</t>
  </si>
  <si>
    <t>ये कहानी में कई दवा सुना चुका हूँ।</t>
  </si>
  <si>
    <t>yeh kahani mein kai dawa suna chuka hoon.</t>
  </si>
  <si>
    <t>common_voice_ur_31822531.wav</t>
  </si>
  <si>
    <t>لیکن ان ڈراموں کے آگے ایک خلاہے۔</t>
  </si>
  <si>
    <t>lekin in draamon ke aage aik khalahe.</t>
  </si>
  <si>
    <t>लेकिन इन ड्रामों के आगे एक खला है।</t>
  </si>
  <si>
    <t>lekin in draamon ke aage ek khala hai.</t>
  </si>
  <si>
    <t>ek, hai</t>
  </si>
  <si>
    <t>common_voice_ur_31822532.wav</t>
  </si>
  <si>
    <t>میں جانتا ہوں وہ منڈیوں میں واپس آنے کے لیے نہیں جا رہے ہیں</t>
  </si>
  <si>
    <t>mein jaanata hoon woh manadion mein oaapas aane ke liye nahi ja rahe hain</t>
  </si>
  <si>
    <t>मैं जानता हूं वो मंडियों में वापस आने के लिए नहीं जा रहे हैं।</t>
  </si>
  <si>
    <t>main jaanta hoon woh mandiyon mein waapas aane ke liye nahi ja rahe hain.</t>
  </si>
  <si>
    <t>common_voice_ur_31822533.wav</t>
  </si>
  <si>
    <t>تو انہیں یہ اینکر انتہا پسند دکھائی دینے لگے ہیں۔</t>
  </si>
  <si>
    <t>to anahin yeh ainkar antaha pasnad dikhayi dine lage hain.</t>
  </si>
  <si>
    <t>तो इन्हें ये एंकर इंतेहापसंद दिखाई देने लगे हैं।</t>
  </si>
  <si>
    <t>to inhein yeh enkar intehaapasand dikhaai dene lage hain.</t>
  </si>
  <si>
    <t>inhein, intehaapasand</t>
  </si>
  <si>
    <t>common_voice_ur_31822535.wav</t>
  </si>
  <si>
    <t>اوربڑھتی ہوئی مصیبتوں کا گھیرا ہے۔</t>
  </si>
  <si>
    <t>aorbarhati hui masibaton ka ghira hai.</t>
  </si>
  <si>
    <t>और बढ़ती हुई मुसीबतों का घेरा है।</t>
  </si>
  <si>
    <t>aur barhti hui museebaton ka ghera hai.</t>
  </si>
  <si>
    <t>aur</t>
  </si>
  <si>
    <t>common_voice_ur_31822552.wav</t>
  </si>
  <si>
    <t>بلکہ یہ کہا جائے گا کہ فلاں آدمی کا فلاں نقطۂ نظر اسلام کے دائرے میں نہیں آتا</t>
  </si>
  <si>
    <t>balka yeh kaha jaiye ga ke flaan aadami ka flaan naqataۂ nazar Islam ke daaire mein nahi aata</t>
  </si>
  <si>
    <t>बल्कि ये कहा जाएगा कि फलान आदमी का फलान होता है नज़र इस्लाम के दायरे में नहीं आता।</t>
  </si>
  <si>
    <t>balki yeh kaha jayega ki phalaan aadmi ka phalaan hota hai nazar islaam ke daayre mein nahi aata.</t>
  </si>
  <si>
    <t>ki, phalaan, aadmi, ka, phalaan, hota, hai, nazar, islaam</t>
  </si>
  <si>
    <t>common_voice_ur_31822555.wav</t>
  </si>
  <si>
    <t>انگریزی کا لفظ ہے۔</t>
  </si>
  <si>
    <t>angarizi ka lafaz hai.</t>
  </si>
  <si>
    <t>अंग्रेजी गलब्स हैं।</t>
  </si>
  <si>
    <t>angreji galabs hain.</t>
  </si>
  <si>
    <t>angreji, galabs</t>
  </si>
  <si>
    <t>common_voice_ur_31822576.wav</t>
  </si>
  <si>
    <t>اللہ پاک آپ کے درجات بلند کرے ۔</t>
  </si>
  <si>
    <t>alla paak aap ke darjaat balnad kare .</t>
  </si>
  <si>
    <t>اللاباق آپ کی درجات بلند کرے.</t>
  </si>
  <si>
    <t>اللاباق, آپ, کی, درجات, بلند, کرے</t>
  </si>
  <si>
    <t>common_voice_ur_31822579.wav</t>
  </si>
  <si>
    <t>ہوربارٹ ٹیسٹ میں ویسٹ انڈیز مشکلات کا شکار</t>
  </si>
  <si>
    <t>horbaarat test mein oisat anadiz mashklaat ka shikar</t>
  </si>
  <si>
    <t>Four times tests me in West Indies, difficults ke shikar.</t>
  </si>
  <si>
    <t>Four times tests main in West Indies, difficults ke shikar.</t>
  </si>
  <si>
    <t>four, times, in, west, indies, difficults, ke</t>
  </si>
  <si>
    <t>common_voice_ur_31822605.wav</t>
  </si>
  <si>
    <t>اختتام کی شروعات؟</t>
  </si>
  <si>
    <t>akhttaam ki sharoaat?</t>
  </si>
  <si>
    <t>اقتصادام کی شروعات.</t>
  </si>
  <si>
    <t>اقتصادام, کی, شروعات</t>
  </si>
  <si>
    <t>common_voice_ur_31822606.wav</t>
  </si>
  <si>
    <t>مذہب اور مذہب کا سماجی مطالعہ دو مختلف علوم ہیں۔</t>
  </si>
  <si>
    <t>mazhab aur mazhab ka samaji matala do makhtalaf lom hain.</t>
  </si>
  <si>
    <t>مذهب و مذهب که سماجی مطالعه دو مختلف علوم هستند.</t>
  </si>
  <si>
    <t>مذهب, و, مذهب, که, سماجی, مطالعه, دو, مختلف, علوم, هستند</t>
  </si>
  <si>
    <t>common_voice_ur_31822607.wav</t>
  </si>
  <si>
    <t>یہ قواعد ہم اپنے مشاہدے اور تجزیاتی مطالعے کی روشنی میں سمجھ لیتے ہیں</t>
  </si>
  <si>
    <t>yeh qoaad hum apane mashaahade aur tajaziaati mtaalae ki roshani mein samajh lite hain</t>
  </si>
  <si>
    <t>ये कवायद हम अपने मुशायदे और तज़ियाती मुतालेकी रोशनी में समझ लेते हैं।</t>
  </si>
  <si>
    <t>yeh kawaayad hum apne mushaayde aur taziyati mutaaleki roshni mein samajh lete hain.</t>
  </si>
  <si>
    <t>kawaayad</t>
  </si>
  <si>
    <t>common_voice_ur_31822630.wav</t>
  </si>
  <si>
    <t>گرنے لگیں تو اسحاق ڈار بن جاتے ہیں۔</t>
  </si>
  <si>
    <t>garane lagin to ashaaq daar ban jate hain.</t>
  </si>
  <si>
    <t>गिरने लगें तो इस हागदार बन जाते हैं।</t>
  </si>
  <si>
    <t>girne lagen to is haagadaar ban jate hain.</t>
  </si>
  <si>
    <t>is, haagadaar</t>
  </si>
  <si>
    <t>common_voice_ur_31822633.wav</t>
  </si>
  <si>
    <t>انڈیا میں ٹک ٹاک</t>
  </si>
  <si>
    <t>anadiaa mein tak taak</t>
  </si>
  <si>
    <t>India may TikTok.</t>
  </si>
  <si>
    <t>india, may, tiktok</t>
  </si>
  <si>
    <t>common_voice_ur_31822636.wav</t>
  </si>
  <si>
    <t>یہی کچھ دوسری عالمی جنگ کے بعد</t>
  </si>
  <si>
    <t>ihi kachh dosari aalami janag ke baad</t>
  </si>
  <si>
    <t>यही कुछ दूसरी आलमी जंग के बाद.</t>
  </si>
  <si>
    <t>yahi kuch doosri aalmi jang ke baad.</t>
  </si>
  <si>
    <t>yahi, kuch</t>
  </si>
  <si>
    <t>common_voice_ur_31822639.wav</t>
  </si>
  <si>
    <t>ملتان کے شائقین کرکٹ کو پاکستان اور ویسٹ انڈیز کے مابین میچ کا انتظار</t>
  </si>
  <si>
    <t>maltaan ke shaaiqin karkat ko Pakistan aur oisat anadiz ke maabin mich ka antzaar</t>
  </si>
  <si>
    <t>Multan's Shaheekine Cricket is waiting for the Pakistan vs West Indies match.</t>
  </si>
  <si>
    <t>shaheekine, cricket, is, waiting, for, the, vs, west, indies, match</t>
  </si>
  <si>
    <t>common_voice_ur_31822649.wav</t>
  </si>
  <si>
    <t>بیسیوں اشعار زبانِ زدِ عام ہیں</t>
  </si>
  <si>
    <t>bision ashaaar zabani zadi aam hain</t>
  </si>
  <si>
    <t>بیشی اشاره زبانه زده آمی هم.</t>
  </si>
  <si>
    <t>بیشی, اشاره, زبانه, زده, آمی, هم</t>
  </si>
  <si>
    <t>common_voice_ur_31822651.wav</t>
  </si>
  <si>
    <t>عدلیہ اورفوج۔</t>
  </si>
  <si>
    <t>dali aorafoj.</t>
  </si>
  <si>
    <t>Adliya or Forge.</t>
  </si>
  <si>
    <t>adliya, or, forge</t>
  </si>
  <si>
    <t>common_voice_ur_31822652.wav</t>
  </si>
  <si>
    <t>پاکستان نے کھیلو</t>
  </si>
  <si>
    <t>Pakistan ne khilo</t>
  </si>
  <si>
    <t>पाकिस्तान ने खेलो</t>
  </si>
  <si>
    <t>Pakistan ne khelo</t>
  </si>
  <si>
    <t>common_voice_ur_31822653.wav</t>
  </si>
  <si>
    <t>قدامت پسند سلطنت تھی۔</t>
  </si>
  <si>
    <t>qdaamat pasnad saltanat thi.</t>
  </si>
  <si>
    <t>कदामत पसंद सल्तनत थी।</t>
  </si>
  <si>
    <t>kadaamat pasand saltanat thi.</t>
  </si>
  <si>
    <t>common_voice_ur_31822709.wav</t>
  </si>
  <si>
    <t>وہ وقت کب آئے گا؟</t>
  </si>
  <si>
    <t>woh waqt kab aaye ga?</t>
  </si>
  <si>
    <t>वो वक्त कब आएगा?</t>
  </si>
  <si>
    <t>woh waqt kab aayega?</t>
  </si>
  <si>
    <t>common_voice_ur_31822710.wav</t>
  </si>
  <si>
    <t>سب سے زیادہ استعمال ہونے والی زبان ہے</t>
  </si>
  <si>
    <t>sab se ziaada astmaal hone wali zbaan hai</t>
  </si>
  <si>
    <t>सबसे ज़्यादा इस्तेमाल होने वाली ज़ुबान है।</t>
  </si>
  <si>
    <t>sabse zyada istemaal hone wali zubaan hai.</t>
  </si>
  <si>
    <t>common_voice_ur_31822713.wav</t>
  </si>
  <si>
    <t>اداروں میں تصادم نہیں ہونا چاہیے۔</t>
  </si>
  <si>
    <t>daaron mein tsaadam nahi hona chahiye.</t>
  </si>
  <si>
    <t>इदारों में तसादुम नहीं होना चाहिए।</t>
  </si>
  <si>
    <t>idaaron mein tasaadum nahi hona chahiye.</t>
  </si>
  <si>
    <t>common_voice_ur_31822769.wav</t>
  </si>
  <si>
    <t>زیادہ تر غیر معروف فنکار ہیں۔</t>
  </si>
  <si>
    <t>ziaada tar ghir marof fankaar hain.</t>
  </si>
  <si>
    <t>زیادتر غیرمارو فنکار هم.</t>
  </si>
  <si>
    <t>زیادتر, غیرمارو, فنکار, هم</t>
  </si>
  <si>
    <t>common_voice_ur_31822771.wav</t>
  </si>
  <si>
    <t>احتساب کا مذاق اڑایا جا رہا تھا۔</t>
  </si>
  <si>
    <t>ahtsaab ka mzaaq raaiaa ja raha tha.</t>
  </si>
  <si>
    <t>हितेशाब का मजाक पढ़ाया जा रहा था।</t>
  </si>
  <si>
    <t>hiteshaab ka majaak parhaya ja raha tha.</t>
  </si>
  <si>
    <t>majaak, parhaya</t>
  </si>
  <si>
    <t>common_voice_ur_31822772.wav</t>
  </si>
  <si>
    <t>البرٹو ڈیل ریو ڈبلیو ڈبلیو ای چھوڑنے کے لیے تیار</t>
  </si>
  <si>
    <t>albarato dil rio dabalio dabalio ai chhorane ke liye tiaar</t>
  </si>
  <si>
    <t>アルバ토 डेल रियो WWE जोने के लिए तैयार।</t>
  </si>
  <si>
    <t>アルバ토 del riyo WWE jone ke liye tayyar.</t>
  </si>
  <si>
    <t>アルバ토, del, wwe, jone</t>
  </si>
  <si>
    <t>common_voice_ur_31822808.wav</t>
  </si>
  <si>
    <t>کل شام کو ایک کتابوں کی دکان میں بہت عرصے بعد گھس گیا</t>
  </si>
  <si>
    <t>kal shaam ko aik ktaabon ki dkaan mein bahat rase baad ghas gaya</t>
  </si>
  <si>
    <t>कल शाम को एक किताबों की दुकान में बहुत अरसे बात घुस गया.</t>
  </si>
  <si>
    <t>kal shaam ko ek kitaabon ki dukaan mein bahut arse baat ghus gaya.</t>
  </si>
  <si>
    <t>ek, bahut</t>
  </si>
  <si>
    <t>common_voice_ur_31822810.wav</t>
  </si>
  <si>
    <t>قیمت میں اضافے کے مطلب پر اختلاف کرتے ہیں</t>
  </si>
  <si>
    <t>qimat mein azafe ke matlab par akhtlaaf karate hain</t>
  </si>
  <si>
    <t>कीमत के इजाफे के मतलब पर खत्लाव करते हैं।</t>
  </si>
  <si>
    <t>keemat ke ijaaphe ke matalab par khatlaaw karte hain.</t>
  </si>
  <si>
    <t>keemat, ijaaphe, ke</t>
  </si>
  <si>
    <t>common_voice_ur_31822814.wav</t>
  </si>
  <si>
    <t>تو کسی اور سوچ کی خاک فرصت ملے گی۔</t>
  </si>
  <si>
    <t>to kasi aur soch ki khaak farsat mile gi.</t>
  </si>
  <si>
    <t>तो किसी और सोच की खाक फर्सत मिलेगी।</t>
  </si>
  <si>
    <t>to kisi aur soch ki khaak pharsat milegi.</t>
  </si>
  <si>
    <t>common_voice_ur_31822833.wav</t>
  </si>
  <si>
    <t>ایک زمانہ تھا</t>
  </si>
  <si>
    <t>aik zamana tha</t>
  </si>
  <si>
    <t>एक जमाना था।</t>
  </si>
  <si>
    <t>ek jamana tha.</t>
  </si>
  <si>
    <t>common_voice_ur_31822835.wav</t>
  </si>
  <si>
    <t>کا شکر بجا لانے</t>
  </si>
  <si>
    <t>ka shakar baja lane</t>
  </si>
  <si>
    <t>काश शुकर बजा दाना।</t>
  </si>
  <si>
    <t>kaash shukar baja dana.</t>
  </si>
  <si>
    <t>kaash, dana</t>
  </si>
  <si>
    <t>common_voice_ur_31822836.wav</t>
  </si>
  <si>
    <t>بالی ووڈ فلموں کے ناظرین کے لئے ہیں</t>
  </si>
  <si>
    <t>bali ood falamon ke naazarin ke laie hain</t>
  </si>
  <si>
    <t>बॉलीवुड फिल्मों की नजरिएं के लिए हैं।</t>
  </si>
  <si>
    <t>boleewud philmon ki najarien ke liye hain.</t>
  </si>
  <si>
    <t>boleewud, philmon, ki, najarien</t>
  </si>
  <si>
    <t>common_voice_ur_31824061.wav</t>
  </si>
  <si>
    <t>انہوں نے وہاں تعینات ڈاکٹروں سے ملاقات کی</t>
  </si>
  <si>
    <t>anahon ne whaan tainaat daaktaron se mlaaqaat ki</t>
  </si>
  <si>
    <t>उन्होंने वहाँ ताइनार डॉक्टर से मुलाकात की।</t>
  </si>
  <si>
    <t>unhone wahan taainaar doctor se mulaakaat ki.</t>
  </si>
  <si>
    <t>unhone, doctor</t>
  </si>
  <si>
    <t>common_voice_ur_31824063.wav</t>
  </si>
  <si>
    <t>بہت چیزیں بدل چکی ہوں۔</t>
  </si>
  <si>
    <t>bahat chizin badal chaki hoon.</t>
  </si>
  <si>
    <t>बहुत चीजें बदल चुकी हो।</t>
  </si>
  <si>
    <t>bahut cheejen badal chuki ho.</t>
  </si>
  <si>
    <t>cheejen, ho</t>
  </si>
  <si>
    <t>common_voice_ur_31824065.wav</t>
  </si>
  <si>
    <t>وہ جذبات کے اظہار کے لیے راستوں کا تعین کرتا ہے۔</t>
  </si>
  <si>
    <t>woh jazbaat ke azhaar ke liye raasaton ka tain karta hai.</t>
  </si>
  <si>
    <t>वो जज्बात के इजारे के लिए दास्तां का तल्लुफ़ीन करता है।</t>
  </si>
  <si>
    <t>woh jajbaat ke ijare ke liye daastaan ka tallufeen karta hai.</t>
  </si>
  <si>
    <t>ijare, daastaan, tallufeen</t>
  </si>
  <si>
    <t>common_voice_ur_31824081.wav</t>
  </si>
  <si>
    <t>دہلی، واشنگٹن اور ''دیگر" ہیں۔</t>
  </si>
  <si>
    <t>dahali, oaashnagtan aur ''digar" hain.</t>
  </si>
  <si>
    <t>दिल्ली, वाशिंगटन और दूसरे हैं।</t>
  </si>
  <si>
    <t>Delhi, waashingatan aur doosre hain.</t>
  </si>
  <si>
    <t>delhi, doosre</t>
  </si>
  <si>
    <t>common_voice_ur_31824090.wav</t>
  </si>
  <si>
    <t>نواز شریف کیخلاف عدالتی فیصلہ اقتصادی ترقی کیلئے خطرناک عالمی جریدوں کا تبصرہ</t>
  </si>
  <si>
    <t>noaaz sharif kikhlaaf daalati faisla aqtasadi taraqi kilaie khatrnaak aalami jaridon ka tabsara</t>
  </si>
  <si>
    <t>नवशरीफ के ख़़लाफ़ दाल्दी फ़ैसला अर्थशास्त्री तरकीब के लिए ख़तरनाक पालमी ज़दीदों का दब्बाशरा</t>
  </si>
  <si>
    <t>nawashareeph ke kha़laaf daaldi faisla arthashaastri tarakeeb ke liye khataranaak paalmi zadeedon ka dabbaashra</t>
  </si>
  <si>
    <t>nawashareeph, ke, arthashaastri, tarakeeb, ke, liye, zadeedon, dabbaashra</t>
  </si>
  <si>
    <t>common_voice_ur_31824121.wav</t>
  </si>
  <si>
    <t>بیماری کیا ہے؟</t>
  </si>
  <si>
    <t>bimari kya hai?</t>
  </si>
  <si>
    <t>बीमारी क्या है?</t>
  </si>
  <si>
    <t>beemari kya hai?</t>
  </si>
  <si>
    <t>common_voice_ur_31824161.wav</t>
  </si>
  <si>
    <t>اب ہو گا</t>
  </si>
  <si>
    <t>ab ho ga</t>
  </si>
  <si>
    <t>अब होगा</t>
  </si>
  <si>
    <t>ab hoga</t>
  </si>
  <si>
    <t>hoga</t>
  </si>
  <si>
    <t>common_voice_ur_31824162.wav</t>
  </si>
  <si>
    <t>تعلیم پر قبضہ کر جا رہی ہے</t>
  </si>
  <si>
    <t>talim par qabza kar ja rahi hai</t>
  </si>
  <si>
    <t>तालिम पर कब्जा कर जा रही है।</t>
  </si>
  <si>
    <t>taalim par kabja kar ja rahi hai.</t>
  </si>
  <si>
    <t>kabja</t>
  </si>
  <si>
    <t>common_voice_ur_31824163.wav</t>
  </si>
  <si>
    <t>مگر حیرت کی بات کہ قرآن شریف کو سب سے اوپر رکھا گیا گویا سب سےمقدس صحیفہ یہی ہے</t>
  </si>
  <si>
    <t>magar hirat ki baat ke qraan sharif ko sab se aopar rakha gaya goiaa sab semqadas sahifa ihi hai</t>
  </si>
  <si>
    <t>मगर ये हैरत की बात है कि कलान शरीफ को सब से ऊपर रखा गया गोयासब से मकद्दस सहीफा यही है।</t>
  </si>
  <si>
    <t>magar yeh hairat ki baat hai ki kalaan shareeph ko sab se oopar rakha gaya goyaasab se makaddas saheepha yahi hai.</t>
  </si>
  <si>
    <t>yeh, hai, ki, kalaan, shareeph, goyaasab, se, makaddas, saheepha, yahi</t>
  </si>
  <si>
    <t>common_voice_ur_31824164.wav</t>
  </si>
  <si>
    <t>پھر ہم جانتے ہیں۔</t>
  </si>
  <si>
    <t>phir hum jaanate hain.</t>
  </si>
  <si>
    <t>फिर हम जानते हैं।</t>
  </si>
  <si>
    <t>phir hum jaante hain.</t>
  </si>
  <si>
    <t>common_voice_ur_31824165.wav</t>
  </si>
  <si>
    <t>ہمیشہ چلتا پھرتا رہتا ہوں</t>
  </si>
  <si>
    <t>hamisha chalata pharata rahata hoon</t>
  </si>
  <si>
    <t>हमेशा चलता फिरता रहता हूँ।</t>
  </si>
  <si>
    <t>hamesha chalta phirta rahta hoon.</t>
  </si>
  <si>
    <t>common_voice_ur_32038509.wav</t>
  </si>
  <si>
    <t>ہمارے جوان اے دن شہید ہو رہے ہیں اور یہ کتے ان پر بھونکتے ہیں</t>
  </si>
  <si>
    <t>humare joaan ae din Shahid ho rahe hain aur yeh kate in par bhonkate hain</t>
  </si>
  <si>
    <t>हमारे जवान इन दिन शहीद हो रहे हैं और ये कुत्ते इन पर भागते हैं।</t>
  </si>
  <si>
    <t>hamare jawaan in din shaheed ho rahe hain aur yeh kutte in par bhaagte hain.</t>
  </si>
  <si>
    <t>in, kutte, bhaagte</t>
  </si>
  <si>
    <t>common_voice_ur_32039132.wav</t>
  </si>
  <si>
    <t>بہت چاؤ سے بیٹے کی زندگی کو خوشگوار بنانے کی کوشش کی جاتی ہے</t>
  </si>
  <si>
    <t>bahat chaao se bite ki zandagi ko khoshagoaar banane ki koshash ki jati hai</t>
  </si>
  <si>
    <t>बहुत चावों से बेटे की जिंदगी को खुशगوار बनाने की कोशिश की जाती है।</t>
  </si>
  <si>
    <t>bahut chaawon se bete ki jindagi ko khushagوار banane ki koshish ki jati hai.</t>
  </si>
  <si>
    <t>khushagوار</t>
  </si>
  <si>
    <t>common_voice_ur_32039721.wav</t>
  </si>
  <si>
    <t>میں صبح جلدی اٹھتاہوں</t>
  </si>
  <si>
    <t>mein subah jaladi athtaahon</t>
  </si>
  <si>
    <t>मैं सुबह जल्दी उठता हूँ।</t>
  </si>
  <si>
    <t>main subah jaldi uthta hoon.</t>
  </si>
  <si>
    <t>uthta, hoon</t>
  </si>
  <si>
    <t>common_voice_ur_32039827.wav</t>
  </si>
  <si>
    <t>یہ تنازع ایشیا بحرالکاہل خطے پر بھی کھڑا ہوتا ہے</t>
  </si>
  <si>
    <t>yeh tanaza aishiaa bahraalkaahal khate par bhi khara hota hai</t>
  </si>
  <si>
    <t>इतना ज़ाहिर अशिया बहरुल क़ाहिल ख़त्ते पर भी खड़ा होता है।</t>
  </si>
  <si>
    <t>itna zaahir ashiya baharul qaahil khatte par bhi khara hota hai.</t>
  </si>
  <si>
    <t>itna, zaahir, baharul, qaahil</t>
  </si>
  <si>
    <t>common_voice_ur_32039918.wav</t>
  </si>
  <si>
    <t>بداعمال لوگوں کو مرنے کے بعد سزا بھگتنی ہوگی</t>
  </si>
  <si>
    <t>bdaamaal logon ko marane ke baad saza bhagtani hogi</t>
  </si>
  <si>
    <t>पदमा लोगों के मरने के बाद सजा बुखारी होगी।</t>
  </si>
  <si>
    <t>padma logon ke marne ke baad saja bukhari hogi.</t>
  </si>
  <si>
    <t>padma, ke, bukhari</t>
  </si>
  <si>
    <t>common_voice_ur_32040838.wav</t>
  </si>
  <si>
    <t>نے ہمت نہیں ہاری</t>
  </si>
  <si>
    <t>ne hamat nahi hari</t>
  </si>
  <si>
    <t>ने हिम्मत नहीं हारी.</t>
  </si>
  <si>
    <t>ne himmat nahi hari.</t>
  </si>
  <si>
    <t>common_voice_ur_32060390.wav</t>
  </si>
  <si>
    <t>اس سے بڑا عالمی مسئلہ کوئی نہیں۔</t>
  </si>
  <si>
    <t>is se bara aalami masila koi nahi.</t>
  </si>
  <si>
    <t>इससे बड़ा आलमी मसला कोई नहीं।</t>
  </si>
  <si>
    <t>isse bara aalmi masla koi nahi.</t>
  </si>
  <si>
    <t>isse</t>
  </si>
  <si>
    <t>common_voice_ur_31891961.wav</t>
  </si>
  <si>
    <t>جیسے ہمیں پتہ ہے۔</t>
  </si>
  <si>
    <t>jise hamin pata hai.</t>
  </si>
  <si>
    <t>जैसे हमें पता है</t>
  </si>
  <si>
    <t>jaise hamein pata hai</t>
  </si>
  <si>
    <t>common_voice_ur_31892103.wav</t>
  </si>
  <si>
    <t>ہم نے اس کا حساب لگا لیا۔</t>
  </si>
  <si>
    <t>hum ne is ka hsaab laga liya.</t>
  </si>
  <si>
    <t>हमने इसका हिसाब लगाया है।</t>
  </si>
  <si>
    <t>humne iska hisaab lagaya hai.</t>
  </si>
  <si>
    <t>iska, hai</t>
  </si>
  <si>
    <t>common_voice_ur_31892145.wav</t>
  </si>
  <si>
    <t>کام چلتا ہے۔</t>
  </si>
  <si>
    <t>kaam chalata hai.</t>
  </si>
  <si>
    <t>काम चलता है</t>
  </si>
  <si>
    <t>kaam chalta hai</t>
  </si>
  <si>
    <t>common_voice_ur_31892159.wav</t>
  </si>
  <si>
    <t>تو میرے ارد گرد ایسے مناظر کیوں دکھائی نہیں دیتے؟</t>
  </si>
  <si>
    <t>to mire arad garad aise mnaazar kyun dikhayi nahi dite?</t>
  </si>
  <si>
    <t>तो मेरे इर्द-गिर्द ऐसे मनाजिर क्यों दिखाई नहीं देते?</t>
  </si>
  <si>
    <t>to mere ird-gird aise manaajir kyon dikhaai nahi dete?</t>
  </si>
  <si>
    <t>irdgird, manaajir</t>
  </si>
  <si>
    <t>common_voice_ur_31892189.wav</t>
  </si>
  <si>
    <t>تو اس لیے کہ اس آئیڈیالوجی نے انہیں قائل کیا ہے۔</t>
  </si>
  <si>
    <t>to is liye ke is aaiidiaaloji ne anahin qaail kya hai.</t>
  </si>
  <si>
    <t>तो इसलिए कि इस आइडिया आइडियोलॉजी ने इन्हें कायल किया है।</t>
  </si>
  <si>
    <t>to isliye ki is aaidiya aaidiyoloji ne inhein kaayal kiya hai.</t>
  </si>
  <si>
    <t>isliye, ki, aaidiya, inhein, kaayal</t>
  </si>
  <si>
    <t>common_voice_ur_31892204.wav</t>
  </si>
  <si>
    <t>ایک عرصے سے ہمارے علما کے ہاں اس دوسرے موقعِ استعمال کا غلبہ ہو گیا ہے</t>
  </si>
  <si>
    <t>aik rase se humare lama ke haan is dosare moqa astmaal ka ghalba ho gaya hai</t>
  </si>
  <si>
    <t>एक अच्छे से हमारे अलमा के हां उस दूसरे मौका इस्तेमाल का गलबा हो गया है।</t>
  </si>
  <si>
    <t>ek achche se hamare alma ke haan us doosre mauka istemaal ka galba ho gaya hai.</t>
  </si>
  <si>
    <t>ek, achche, us, mauka</t>
  </si>
  <si>
    <t>common_voice_ur_31892260.wav</t>
  </si>
  <si>
    <t>یہاں پہ بھی کچھ ایسا ہی معاملہ ہے۔</t>
  </si>
  <si>
    <t>yhaan pa bhi kachh aisa hi maaamla hai.</t>
  </si>
  <si>
    <t>यहाँ पे भी कुछ ऐसा ही मामला है।</t>
  </si>
  <si>
    <t>yahan pe bhi kuch aisa hi maamla hai.</t>
  </si>
  <si>
    <t>pe, kuch</t>
  </si>
  <si>
    <t>common_voice_ur_31892286.wav</t>
  </si>
  <si>
    <t>اس بجلی کی گاڑی کو چارج کرنے کاطریقہ یہ ھےکہ جیسے آ</t>
  </si>
  <si>
    <t>is bajali ki gaadi ko chaaraj karane kaatariqa yeh heka jise aa</t>
  </si>
  <si>
    <t>इस बिजली की गाड़ी को चार्ज करने का तरीका ये है कि जैसे आ</t>
  </si>
  <si>
    <t>is bijli ki gaadi ko chaarj karne ka tareeka yeh hai ki jaise aa</t>
  </si>
  <si>
    <t>ka, tareeka, hai, ki</t>
  </si>
  <si>
    <t>common_voice_ur_31892287.wav</t>
  </si>
  <si>
    <t>پاکستان میں جمہوری ادارے قائم ہیں۔</t>
  </si>
  <si>
    <t>Pakistan mein jamahori adare qaaim hain.</t>
  </si>
  <si>
    <t>पाकिस्तान में जमुनिये दारे कायम हैं।</t>
  </si>
  <si>
    <t>Pakistan mein jamuniye dare kaayam hain.</t>
  </si>
  <si>
    <t>jamuniye, kaayam</t>
  </si>
  <si>
    <t>common_voice_ur_31892342.wav</t>
  </si>
  <si>
    <t>مختصر دعا کے بعد لوگ کھانے میں مصروف ہو جاتے ہیں۔</t>
  </si>
  <si>
    <t>makhtasar daaa ke baad log khane mein masarof ho jate hain.</t>
  </si>
  <si>
    <t>मुख्तसिर दुआ के बाद लोग खाने में मसरूफ हो जाते हैं।</t>
  </si>
  <si>
    <t>mukhtasir dua ke baad log khane mein masarooph ho jate hain.</t>
  </si>
  <si>
    <t>dua</t>
  </si>
  <si>
    <t>common_voice_ur_31892354.wav</t>
  </si>
  <si>
    <t>اس کے تمام اخراجات خود مزدور کے ذمہ تھے</t>
  </si>
  <si>
    <t>is ke tmaam akhraajaat khod mazador ke zama thay</t>
  </si>
  <si>
    <t>این که تمام اخراجات خود مزدور که زماده.</t>
  </si>
  <si>
    <t>این, که, تمام, اخراجات, خود, مزدور, که, زماده</t>
  </si>
  <si>
    <t>common_voice_ur_31892355.wav</t>
  </si>
  <si>
    <t>خلاف جتنی انتقامی کارروائیاں کی گئیں</t>
  </si>
  <si>
    <t>khlaaf jatani antaqami kaararoaaiiaan ki gaiin</t>
  </si>
  <si>
    <t>ख़لاف जितनी इंतकामी कार्रवाईयाँ की गईं।</t>
  </si>
  <si>
    <t>khلاف jitni intakami kaarrawaaeeyaan ki gaeen.</t>
  </si>
  <si>
    <t>khلاف, kaarrawaaeeyaan, gaeen</t>
  </si>
  <si>
    <t>common_voice_ur_31892358.wav</t>
  </si>
  <si>
    <t>اور اس کی وضاحت آپ ہی کیلئے ہیں</t>
  </si>
  <si>
    <t>aur is ki ozaahat aap hi kilaie hain</t>
  </si>
  <si>
    <t>और उसकी वज़ाहत आप ही के लिए हैं।</t>
  </si>
  <si>
    <t>aur uski wazaahat aap hi ke liye hain.</t>
  </si>
  <si>
    <t>uski, ke, liye</t>
  </si>
  <si>
    <t>common_voice_ur_31892374.wav</t>
  </si>
  <si>
    <t>نہیں مجھےلگتا ہے نہیں ہوئی</t>
  </si>
  <si>
    <t>nahi majhelgata hai nahi hui</t>
  </si>
  <si>
    <t>नहीं मुझे लगता है नहीं हुई</t>
  </si>
  <si>
    <t>nahi mujhe lagta hai nahi hui</t>
  </si>
  <si>
    <t>mujhe, lagta</t>
  </si>
  <si>
    <t>common_voice_ur_31892398.wav</t>
  </si>
  <si>
    <t>بتانے کے بعد آگے مختلف لوگوں کو نامزد کرتا ہے</t>
  </si>
  <si>
    <t>batane ke baad aage makhtalaf logon ko naamzad karta hai</t>
  </si>
  <si>
    <t>बताने के बाद आगे विभिन्न लोगों को नामजद करता है।</t>
  </si>
  <si>
    <t>batane ke baad aage wibhinn logon ko naamajad karta hai.</t>
  </si>
  <si>
    <t>wibhinn</t>
  </si>
  <si>
    <t>common_voice_ur_31892462.wav</t>
  </si>
  <si>
    <t>تو کچھ نیب کی۔</t>
  </si>
  <si>
    <t>to kachh nib ki.</t>
  </si>
  <si>
    <t>तो कुछ नेब की</t>
  </si>
  <si>
    <t>to kuch neb ki</t>
  </si>
  <si>
    <t>kuch, neb</t>
  </si>
  <si>
    <t>common_voice_ur_31892463.wav</t>
  </si>
  <si>
    <t>ان کے دن پھر چکے ہیں۔</t>
  </si>
  <si>
    <t>in ke din phir chake hain.</t>
  </si>
  <si>
    <t>उनके दिन फिर चुके हैं।</t>
  </si>
  <si>
    <t>unke din phir chuke hain.</t>
  </si>
  <si>
    <t>unke</t>
  </si>
  <si>
    <t>common_voice_ur_31892484.wav</t>
  </si>
  <si>
    <t>مصنوعی پھولوں سے خوشبو نہیں آتی۔</t>
  </si>
  <si>
    <t>masanoi pholon se khoshabo nahi aati.</t>
  </si>
  <si>
    <t>مصنوعی گلها سعی خشبو نهی آتی.</t>
  </si>
  <si>
    <t>مصنوعی, گلها, سعی, خشبو, نهی, آتی</t>
  </si>
  <si>
    <t>common_voice_ur_31892558.wav</t>
  </si>
  <si>
    <t>چاہے وہ یوسف ؑ کو کنویں میں ڈالنا یا نکالنا ہوا یا ابراھیمؑ کی آگ کا واقعہ یا پھر موسیؑ کا اور فرعون کا قصہ</t>
  </si>
  <si>
    <t>chahe woh iosaf ؑ ko kanoin mein daalana ya nkaalana hua ya abraahimaؑ ki aag ka oaaqa ya phir mosiؑ ka aur faraon ka qasa</t>
  </si>
  <si>
    <t>चाहे वह यूसुफ को कुएं में डालना या निकालना हुआ, या इब्राहिम की आग का वाक्या, या फिर मूसा का और फिरौन का किस्सा।</t>
  </si>
  <si>
    <t>chahe woh yoosuph ko kuen mein daalna ya nikaalna hua, ya ibraahim ki aag ka waakya, ya phir moosa ka aur phiraun ka kissa.</t>
  </si>
  <si>
    <t>yoosuph, kuen, waakya, moosa, phiraun, kissa</t>
  </si>
  <si>
    <t>common_voice_ur_31895124.wav</t>
  </si>
  <si>
    <t>وفاقی حکومت کا پیسکو میں بلنگ کی ذمہ داری بیرونی ادارے کو دینے کا فیصلہ</t>
  </si>
  <si>
    <t>ofaqi hakomat ka pisako mein balnag ki zama dari bironi adare ko dine ka faisla</t>
  </si>
  <si>
    <t>وفاقی حکومت کا پسکو می بلانگ کی زمہ داری بر ہونیادارے کو دینے کا فیصلہ.</t>
  </si>
  <si>
    <t>وفاقی, حکومت, کا, پسکو, می, بلانگ, کی, زمہ, داری, بر, ہونیادارے, کو, دینے, کا, فیصلہ</t>
  </si>
  <si>
    <t>common_voice_ur_31895249.wav</t>
  </si>
  <si>
    <t>دانش تیمور اور ہدایت کارہ</t>
  </si>
  <si>
    <t>daanash timor aur hdaait kara</t>
  </si>
  <si>
    <t>دانيش تيمور وحديات كارا.</t>
  </si>
  <si>
    <t>دانيش, تيمور, وحديات, كارا</t>
  </si>
  <si>
    <t>common_voice_ur_31895289.wav</t>
  </si>
  <si>
    <t>رہی معیشت تو اس کی داستان گلی گلی بکھری ہوئی ہے۔</t>
  </si>
  <si>
    <t>rahi maishat to is ki daastaan gali gali bakhari hui hai.</t>
  </si>
  <si>
    <t>रही मार्शियत तो उसकी दास्तान गरीब गरीब बिखरी हुई है।</t>
  </si>
  <si>
    <t>rahi maarshiyat to uski daastaan gareeb gareeb bikhri hui hai.</t>
  </si>
  <si>
    <t>uski, gareeb, gareeb</t>
  </si>
  <si>
    <t>common_voice_ur_31895338.wav</t>
  </si>
  <si>
    <t>البتہ استاد گرامی سید قاسم محمود</t>
  </si>
  <si>
    <t>albata astaad garami sid qaasam mahamod</t>
  </si>
  <si>
    <t>البدر ساد غرامي سيد قاسم محمود.</t>
  </si>
  <si>
    <t>البدر, ساد, غرامي, سيد, قاسم, محمود</t>
  </si>
  <si>
    <t>common_voice_ur_31895352.wav</t>
  </si>
  <si>
    <t>اچھے مستقبل کی خاطر ہم اور بہت سے لوگ محض اپنا وطن اپنی جان سے پیا را پاکستان چھوڑ آئے ہیں</t>
  </si>
  <si>
    <t>achhe mastaqbal ki khaatar hum aur bahat se log mahaz apna otan apni jaan se piaa ra Pakistan chhor aaye hain</t>
  </si>
  <si>
    <t>अच्छा मुश्तकबिल की खातिर हम और बहुत से लोग मस अपना वतन अपनी जान से प्यारा पाकिस्तान छोड़ आए हैं।</t>
  </si>
  <si>
    <t>acha mushtakabil ki khaatir hum aur bahut se log mas apna watan apni jaan se pyara Pakistan chor aaye hain.</t>
  </si>
  <si>
    <t>acha, mushtakabil, mas, watan, pyara</t>
  </si>
  <si>
    <t>common_voice_ur_31895358.wav</t>
  </si>
  <si>
    <t>اسلام اباد میں وزیراعظم کم لاگت ہاسنگ اسکیم پر کام کا اغاز</t>
  </si>
  <si>
    <t>Islam baad mein oziraazam kam laagat haasnag asakim par kaam ka aghaaz</t>
  </si>
  <si>
    <t>इस्लामाबाद में मंत्री आजम कम लागत हासन स्कीम पर काम का आराज।</t>
  </si>
  <si>
    <t>Islamabad mein mantri aajam kam laagat haasan skeem par kaam ka aaraaj.</t>
  </si>
  <si>
    <t>mantri, aajam, skeem, aaraaj</t>
  </si>
  <si>
    <t>common_voice_ur_31895359.wav</t>
  </si>
  <si>
    <t>آسان پر بادل چھاۓ ہوۓ ہیں</t>
  </si>
  <si>
    <t>asaan par baadal chhaaۓ hoۓ hain</t>
  </si>
  <si>
    <t>آسان پر بادل چایه های هستند.</t>
  </si>
  <si>
    <t>آسان, پر, بادل, چایه, های, هستند</t>
  </si>
  <si>
    <t>common_voice_ur_31895362.wav</t>
  </si>
  <si>
    <t>یہ فالتو خرچہ ہو گیا۔</t>
  </si>
  <si>
    <t>yeh faalato kharcha ho gaya.</t>
  </si>
  <si>
    <t>ये फालतू खर्चा हो गया।</t>
  </si>
  <si>
    <t>yeh faltu kharcha ho gaya.</t>
  </si>
  <si>
    <t>faltu</t>
  </si>
  <si>
    <t>common_voice_ur_31895370.wav</t>
  </si>
  <si>
    <t>کیپ ٹائون جنوبی افریقہ نے دورہ بھارت کیلئے ٹیم کا اعلان کردیا</t>
  </si>
  <si>
    <t>kip taaion janobi afariqa ne daura Bharat kilaie tim ka laan karadiaa</t>
  </si>
  <si>
    <t>कैपटाउन ज़िनूबी अफ़्रीका ने दौरा भारत के लिए टीम का एलान कर दिया।</t>
  </si>
  <si>
    <t>kaipataaun zinoobi afreeka ne daura bhaarat ke liye team ka elaan kar diya.</t>
  </si>
  <si>
    <t>kaipataaun, zinoobi, afreeka, ke, liye, team, kar, diya</t>
  </si>
  <si>
    <t>common_voice_ur_31895399.wav</t>
  </si>
  <si>
    <t>اسرائیل بھی دنیا کے سامنے خو دکو مظلوم کہتا ہے۔</t>
  </si>
  <si>
    <t>asraaiil bhi daniaa ke saamane kho dako mazalom kahata hai.</t>
  </si>
  <si>
    <t>इस्राइल भी दुनिया के सामने खुद को मज़दूर कहता है।</t>
  </si>
  <si>
    <t>israail bhi duniya ke saamne khud ko mazdoor kahta hai.</t>
  </si>
  <si>
    <t>duniya, khud, mazdoor</t>
  </si>
  <si>
    <t>common_voice_ur_31895412.wav</t>
  </si>
  <si>
    <t>سنیل نارائن کا بالنگ ایکشن کلیئر</t>
  </si>
  <si>
    <t>sanil naraain ka baalnag aikshan kaliir</t>
  </si>
  <si>
    <t>सुनील नारायण का बॉलिंग एक्शन क्लियर</t>
  </si>
  <si>
    <t>suneel naaraayan ka boling ekshan kliyar</t>
  </si>
  <si>
    <t>suneel, boling, kliyar</t>
  </si>
  <si>
    <t>common_voice_ur_31895414.wav</t>
  </si>
  <si>
    <t>اس نے مزید کہا کچھ بھِی بہت نُمایاں نہیں ہے</t>
  </si>
  <si>
    <t>is ne mazid kaha kachh bhi bahat numaaiaan nahi hai</t>
  </si>
  <si>
    <t>उसने और कहा कुछ भी बहुत नुमायया नहीं है।</t>
  </si>
  <si>
    <t>usne aur kaha kuch bhi bahut numaayya nahi hai.</t>
  </si>
  <si>
    <t>usne, aur, kuch</t>
  </si>
  <si>
    <t>common_voice_ur_31895486.wav</t>
  </si>
  <si>
    <t>دوسروں کو قائل کر لیتا ہوں</t>
  </si>
  <si>
    <t>dosaron ko qaail kar lita hoon</t>
  </si>
  <si>
    <t>दूसरों को कायल कर लेता हूँ।</t>
  </si>
  <si>
    <t>doosaron ko kaayal kar leta hoon.</t>
  </si>
  <si>
    <t>kaayal</t>
  </si>
  <si>
    <t>common_voice_ur_31895517.wav</t>
  </si>
  <si>
    <t>اٹھانا چاہ رہے ہیں شاہد خان آفریدی</t>
  </si>
  <si>
    <t>athana cha rahe hain shaahad khaan aafaridi</t>
  </si>
  <si>
    <t>उठाना चाह रहे हैं शाहिद खान अफरीदी</t>
  </si>
  <si>
    <t>uthana chaah rahe hain Shahid khaan aphareedi</t>
  </si>
  <si>
    <t>aphareedi</t>
  </si>
  <si>
    <t>common_voice_ur_31895518.wav</t>
  </si>
  <si>
    <t>اور اس پر کوئی اعتراض نہیں کیا جا سکتا کہ</t>
  </si>
  <si>
    <t>aur is par koi atraaz nahi kya ja sakta ke</t>
  </si>
  <si>
    <t>और उस पर कोई अतराज नहीं किया जा सकता कि</t>
  </si>
  <si>
    <t>aur us par koi ataraaj nahi kiya ja sakta ki</t>
  </si>
  <si>
    <t>us, ki</t>
  </si>
  <si>
    <t>common_voice_ur_31895543.wav</t>
  </si>
  <si>
    <t>پاکستان اسٹاک ایکس چینج میں تیزی کا رجحان</t>
  </si>
  <si>
    <t>Pakistan astaak aikas chinaj mein tizi ka rajhaan</t>
  </si>
  <si>
    <t>पाकिस्तान स्टॉक एक्सचेंज में तेजी का रिजान</t>
  </si>
  <si>
    <t>Pakistan stok eksachenj mein teji ka rijaan</t>
  </si>
  <si>
    <t>stok, eksachenj, teji</t>
  </si>
  <si>
    <t>common_voice_ur_31895544.wav</t>
  </si>
  <si>
    <t>معاویہ ابوسفیان بن حرب کے بیٹے تھے</t>
  </si>
  <si>
    <t>maaaoi abosafiaan ban harab ke bite thay</t>
  </si>
  <si>
    <t>वाबिया अब्दुसूफियान बनहरब के बेटे थे।</t>
  </si>
  <si>
    <t>waabiya abdusoophiyaan banaharab ke bete the.</t>
  </si>
  <si>
    <t>waabiya, abdusoophiyaan, the</t>
  </si>
  <si>
    <t>common_voice_ur_31895616.wav</t>
  </si>
  <si>
    <t>شریانوں کی اس بیماری کی بہت سی علامات سامنے آئی ہیں</t>
  </si>
  <si>
    <t>shariaanon ki is bimari ki bahat si lamaat saamane aaii hain</t>
  </si>
  <si>
    <t>शेवाइट की इस बीमारी की बहुत सी लामात सामने आई हैं।</t>
  </si>
  <si>
    <t>shewaait ki is beemari ki bahut si laamaat saamne aai hain.</t>
  </si>
  <si>
    <t>shewaait</t>
  </si>
  <si>
    <t>common_voice_ur_31895641.wav</t>
  </si>
  <si>
    <t>بڑے صاحب یہ معاملہ</t>
  </si>
  <si>
    <t>bare sahab yeh maaamla</t>
  </si>
  <si>
    <t>बड़े साहब ये मामला</t>
  </si>
  <si>
    <t>bare sahab yeh maamla</t>
  </si>
  <si>
    <t>common_voice_ur_31924365.wav</t>
  </si>
  <si>
    <t>دپیکا سب سے مہنگی اداکارہ</t>
  </si>
  <si>
    <t>dapika sab se mahnagi daakara</t>
  </si>
  <si>
    <t>दीपिका सबसे महंगी इधकारा</t>
  </si>
  <si>
    <t>deepika sabse mahangi idhakara</t>
  </si>
  <si>
    <t>common_voice_ur_31924366.wav</t>
  </si>
  <si>
    <t>ایسے لوگ بھی ہر جگہ پسند کیے جاتے ہیں</t>
  </si>
  <si>
    <t>aise log bhi har jaga pasnad kiye jate hain</t>
  </si>
  <si>
    <t>ऐसे लोग भी हर जगह पसंद किए जाते हैं।</t>
  </si>
  <si>
    <t>aise log bhi har jagah pasand kiye jate hain.</t>
  </si>
  <si>
    <t>common_voice_ur_31924367.wav</t>
  </si>
  <si>
    <t>اپنی ذات اور زندگی کو پرکھنے میں لطف اندوز ہوتا رہتا ہوں</t>
  </si>
  <si>
    <t>apni zaat aur zandagi ko parkhane mein lataf anadoz hota rahata hoon</t>
  </si>
  <si>
    <t>अपनी जात और जिंदगी को परखने में लतवं अंदोष होता रहता हूँ।</t>
  </si>
  <si>
    <t>apni jaat aur jindagi ko parakhne mein latawan andosh hota rahta hoon.</t>
  </si>
  <si>
    <t>latawan, andosh</t>
  </si>
  <si>
    <t>common_voice_ur_31924377.wav</t>
  </si>
  <si>
    <t>خدشات لاحق ہیں۔</t>
  </si>
  <si>
    <t>khadashaat laahaq hain.</t>
  </si>
  <si>
    <t>خودشات لاهک هن.</t>
  </si>
  <si>
    <t>خودشات, لاهک, هن</t>
  </si>
  <si>
    <t>common_voice_ur_31924390.wav</t>
  </si>
  <si>
    <t>بادل تب ہی چھٹیں گے۔</t>
  </si>
  <si>
    <t>baadal tab hi chhatin ge.</t>
  </si>
  <si>
    <t>बादल तब ही चिटेंगे।</t>
  </si>
  <si>
    <t>baadal tab hi chitenge.</t>
  </si>
  <si>
    <t>chitenge</t>
  </si>
  <si>
    <t>common_voice_ur_31924391.wav</t>
  </si>
  <si>
    <t>پرہیز علاج سے بہتر ہے</t>
  </si>
  <si>
    <t>parahiz laaj se bahtar hai</t>
  </si>
  <si>
    <t>परहेज इलाज से बेहतर है।</t>
  </si>
  <si>
    <t>parahej ilaaj se behatar hai.</t>
  </si>
  <si>
    <t>common_voice_ur_31924394.wav</t>
  </si>
  <si>
    <t>سب کچھ وہاں ہے۔</t>
  </si>
  <si>
    <t>sab kachh whaan hai.</t>
  </si>
  <si>
    <t>सब कुछ वहाँ है।</t>
  </si>
  <si>
    <t>sab kuch wahan hai.</t>
  </si>
  <si>
    <t>common_voice_ur_31924408.wav</t>
  </si>
  <si>
    <t>اسے سارا شہر دکھا دو</t>
  </si>
  <si>
    <t>isay sara shehr dakha do</t>
  </si>
  <si>
    <t>इसे सारा शहर दिखा दो।</t>
  </si>
  <si>
    <t>ise sara shehr dikha do.</t>
  </si>
  <si>
    <t>ise</t>
  </si>
  <si>
    <t>common_voice_ur_31924422.wav</t>
  </si>
  <si>
    <t>چہر ہ مسخ ہونے میں۔</t>
  </si>
  <si>
    <t>chahar  masakh hone mein.</t>
  </si>
  <si>
    <t>चेहरा मस्ख होने में</t>
  </si>
  <si>
    <t>chehra maskh hone mein</t>
  </si>
  <si>
    <t>chehra</t>
  </si>
  <si>
    <t>common_voice_ur_31924428.wav</t>
  </si>
  <si>
    <t>نام نہاد ترقی کی بنا پر فطری خوبصورتی کا گلا گھونٹتا گیا</t>
  </si>
  <si>
    <t>naam nhaad taraqi ki bana par fatari khobasorati ka gala ghontata gaya</t>
  </si>
  <si>
    <t>नामनहात रक्की की बनापर फतरी खूबसूरती का गला घूंटता गया।</t>
  </si>
  <si>
    <t>naamanahaat rakki ki banaapar phatri khoobasoorti ka gala ghoontata gaya.</t>
  </si>
  <si>
    <t>naamanahaat, rakki, banaapar, phatri</t>
  </si>
  <si>
    <t>common_voice_ur_31924434.wav</t>
  </si>
  <si>
    <t>میرا ارباب اختیار سے درخواست ہونا کہ قدرت کا یِہ حسین نمونہ کو ختم ہونا سے بچنا</t>
  </si>
  <si>
    <t>mera arbaab akhatiaar se darakhoaasat hona ke qadrat ka yeh hasin namona ko khatam hona se bachana</t>
  </si>
  <si>
    <t>میرا ارباب اختیار سے درخواست کرنا کے قدرت کا یہ خسین نمونہ کو ختم ہونے سے بچانا۔</t>
  </si>
  <si>
    <t>میرا, ارباب, اختیار, سے, درخواست, کرنا, کے, قدرت, کا, یہ, خسین, نمونہ, کو, ختم, ہونے, سے, بچانا۔</t>
  </si>
  <si>
    <t>common_voice_ur_31924455.wav</t>
  </si>
  <si>
    <t>اس وقت مگر میرا سوال دوسرا ہے۔</t>
  </si>
  <si>
    <t>is waqt magar mera soaal dosara hai.</t>
  </si>
  <si>
    <t>इस वक्त मगर मेरा सवाल दूसरा है।</t>
  </si>
  <si>
    <t>is waqt magar mera sawaal doosra hai.</t>
  </si>
  <si>
    <t>common_voice_ur_31924464.wav</t>
  </si>
  <si>
    <t>لاہور پہ سب کچھ لٹانے کے باوجود ن لیگ کو کیا ملا؟</t>
  </si>
  <si>
    <t>Lahore pa sab kachh latane ke baaojod n lig ko kya mila?</t>
  </si>
  <si>
    <t>لہور پر سب کچھ لٹانے کے باوجود نون لی کو کیا ملا؟</t>
  </si>
  <si>
    <t>لہور, پر, سب, کچھ, لٹانے, کے, باوجود, نون, لی, کو, کیا, ملا</t>
  </si>
  <si>
    <t>common_voice_ur_31924468.wav</t>
  </si>
  <si>
    <t>آئیرِش</t>
  </si>
  <si>
    <t>aaiirish</t>
  </si>
  <si>
    <t>Irish.</t>
  </si>
  <si>
    <t>common_voice_ur_31924500.wav</t>
  </si>
  <si>
    <t>آب روان کبیرکے کنارے لوگ ہر روز بیٹھتے اور اٹھ جاتے ہیں۔</t>
  </si>
  <si>
    <t>aab roaan kabirake kanare log har roz bithate aur ath jate hain.</t>
  </si>
  <si>
    <t>आबरवाह कबीर के किनारे लोग हर फ़रोश बैठते और उठ जाते हैं।</t>
  </si>
  <si>
    <t>aabarawaah kabeer ke kinare log har farosh baithte aur uth jate hain.</t>
  </si>
  <si>
    <t>aabarawaah, kabeer, ke, farosh, uth</t>
  </si>
  <si>
    <t>common_voice_ur_31924504.wav</t>
  </si>
  <si>
    <t>‘وہ وہاں کے حالات کے مطابق تو ہوں۔</t>
  </si>
  <si>
    <t>‘woh whaan ke halaat ke mtaabaq to hoon.</t>
  </si>
  <si>
    <t>वो वहाँ के हालात के मुताबिक तो हूँ।</t>
  </si>
  <si>
    <t>woh wahan ke haalaat ke mutaabik to hoon.</t>
  </si>
  <si>
    <t>mutaabik</t>
  </si>
  <si>
    <t>common_voice_ur_31924513.wav</t>
  </si>
  <si>
    <t>تم نے اسے ناراض کیوں کیا؟</t>
  </si>
  <si>
    <t>tum ne isay naraaz kyun kya?</t>
  </si>
  <si>
    <t>तुमने उसे नाराज क्यों किया?</t>
  </si>
  <si>
    <t>tumne use naaraaj kyon kiya?</t>
  </si>
  <si>
    <t>use</t>
  </si>
  <si>
    <t>common_voice_ur_31924514.wav</t>
  </si>
  <si>
    <t>ضرورت اس امر کی ہے</t>
  </si>
  <si>
    <t>zarorat is amar ki hai</t>
  </si>
  <si>
    <t>ضرورت اُس عمر کی ہے.</t>
  </si>
  <si>
    <t>ضرورت, اُس, عمر, کی, ہے</t>
  </si>
  <si>
    <t>common_voice_ur_31927738.wav</t>
  </si>
  <si>
    <t>سرکاری اداروں کی کارکردگی کیوں بہتر نہیں ہو رہی؟</t>
  </si>
  <si>
    <t>sarakari daaron ki kaarkardagi kyun bahtar nahi ho rahi?</t>
  </si>
  <si>
    <t>सरकारी दारों की कारगर्दगी क्यों बदर नहीं हो रही?</t>
  </si>
  <si>
    <t>sarakari daaron ki kaaragardagi kyon badar nahi ho rahi?</t>
  </si>
  <si>
    <t>common_voice_ur_31927753.wav</t>
  </si>
  <si>
    <t>گسی</t>
  </si>
  <si>
    <t>gasi</t>
  </si>
  <si>
    <t>Gizzy.</t>
  </si>
  <si>
    <t>gizzy</t>
  </si>
  <si>
    <t>common_voice_ur_31927848.wav</t>
  </si>
  <si>
    <t>ملک عدم استحکام کا شکار ہوتے ہیں۔</t>
  </si>
  <si>
    <t>malak dam astahkaam ka shikar hote hain.</t>
  </si>
  <si>
    <t>मुल्क आदम अस्तकाम का शुकार होते हैं।</t>
  </si>
  <si>
    <t>mulk aadam astakaam ka shukaar hote hain.</t>
  </si>
  <si>
    <t>mulk</t>
  </si>
  <si>
    <t>common_voice_ur_31927849.wav</t>
  </si>
  <si>
    <t>کھانے میں مصالحہ قدرے زیادہ ہے</t>
  </si>
  <si>
    <t>khane mein msaalha qadare ziaada hai</t>
  </si>
  <si>
    <t>खाने में मसाला कदरे ज्यादा है।</t>
  </si>
  <si>
    <t>khane mein masala kadre jyada hai.</t>
  </si>
  <si>
    <t>masala, jyada</t>
  </si>
  <si>
    <t>common_voice_ur_31927877.wav</t>
  </si>
  <si>
    <t>وہ آپ کا کیا لگتا ہے؟</t>
  </si>
  <si>
    <t>woh aap ka kya lagata hai?</t>
  </si>
  <si>
    <t>वो आपका क्या लगता है?</t>
  </si>
  <si>
    <t>woh aapka kya lagta hai?</t>
  </si>
  <si>
    <t>common_voice_ur_31927915.wav</t>
  </si>
  <si>
    <t>واضح رہے کہ نیپال کی حکومت نے کھجیندرا تھاپا</t>
  </si>
  <si>
    <t>oaazah rahe ke nipaal ki hakomat ne khajindara thapa</t>
  </si>
  <si>
    <t>वाजिया रहे कि नेपाल की गुमत ने कुजिंद्रा थापा</t>
  </si>
  <si>
    <t>waajiya rahe ki nepaal ki gumat ne kujindra thapa</t>
  </si>
  <si>
    <t>waajiya, nepaal, ki, gumat</t>
  </si>
  <si>
    <t>common_voice_ur_31927925.wav</t>
  </si>
  <si>
    <t>زمانے کا تغیر دیکھیے۔</t>
  </si>
  <si>
    <t>zamane ka taghir dikhie.</t>
  </si>
  <si>
    <t>زمانے کا تغییر دکھیے.</t>
  </si>
  <si>
    <t>زمانے, کا, تغییر, دکھیے</t>
  </si>
  <si>
    <t>common_voice_ur_31964674.wav</t>
  </si>
  <si>
    <t>میں ایک ٹورسٹ ہوں اور میں نے کئی جگہ ہرن چیتے دیکھے ہے پاکستان میں</t>
  </si>
  <si>
    <t>mein aik torsat hoon aur mein ne kaii jaga haran chite dikhe hai Pakistan mein</t>
  </si>
  <si>
    <t>मैं एक टूरिस्ट हूं और मैंने कई जगह हिरन चीते देखे हैं पाकिस्तान में।</t>
  </si>
  <si>
    <t>main ek toorist hoon aur maine kai jagah hiran cheete dekhe hain Pakistan mein.</t>
  </si>
  <si>
    <t>ek, maine</t>
  </si>
  <si>
    <t>common_voice_ur_31964732.wav</t>
  </si>
  <si>
    <t>سولہ سال قید میں گزر گئے جرم ثابت نہیں ہوا</t>
  </si>
  <si>
    <t>sola saal qid mein gazar gaye jaram saabat nahi hua</t>
  </si>
  <si>
    <t>16 साल के आदमी गुजर गए जुर्म साबित नहीं हुआ।</t>
  </si>
  <si>
    <t>16 saal ke aadmi gujar gae jurm saabit nahi hua.</t>
  </si>
  <si>
    <t>16, ke, aadmi, gujar, jurm</t>
  </si>
  <si>
    <t>common_voice_ur_31964933.wav</t>
  </si>
  <si>
    <t>جانے کس پر ہو مہرباں قاتل</t>
  </si>
  <si>
    <t>jane kis par ho mahrbaan qaatal</t>
  </si>
  <si>
    <t>जाने किस पर हो मेरबान कातिल</t>
  </si>
  <si>
    <t>jane kis par ho merabaan kaatil</t>
  </si>
  <si>
    <t>kaatil</t>
  </si>
  <si>
    <t>common_voice_ur_31965138.wav</t>
  </si>
  <si>
    <t>میں بھی بے روزگار ہوں مجھے بھی کچھ ایسا کام ڈھونڈ دیں</t>
  </si>
  <si>
    <t>mein bhi be rozgaar hoon mujhe bhi kachh aisa kaam dhonad dein</t>
  </si>
  <si>
    <t>मैं भी बेरोजगार हूँ मुझे भी कुछ ऐसा काम ढूँढ़ दें।</t>
  </si>
  <si>
    <t>main bhi berojagaar hoon mujhe bhi kuch aisa kaam dhoonrh den.</t>
  </si>
  <si>
    <t>kuch, dhoonrh</t>
  </si>
  <si>
    <t>common_voice_ur_31965351.wav</t>
  </si>
  <si>
    <t>عورت کی فنتاسی یہیں ختم نہیں ہوتی۔</t>
  </si>
  <si>
    <t>orat ki fanatasi ihin khatam nahi hoti.</t>
  </si>
  <si>
    <t>औरत की फंतासी यहीं खत्म नहीं होती।</t>
  </si>
  <si>
    <t>aurat ki phantasi yahin khatm nahi hoti.</t>
  </si>
  <si>
    <t>aurat, yahin</t>
  </si>
  <si>
    <t>common_voice_ur_31837844.wav</t>
  </si>
  <si>
    <t>دھکا م دیجئے، بس پر چڑھنے کے لئے اپنی باری کا انتظار کریں</t>
  </si>
  <si>
    <t>dhaka m dijaie, bus par charhane ke laie apni bari ka antzaar karein</t>
  </si>
  <si>
    <t>देखाम दीजिए बस पर चढ़ने के लिए अपनी बारी का इंतजार करें।</t>
  </si>
  <si>
    <t>dekhaam deejie bus par charhne ke liye apni bari ka intajaar karein.</t>
  </si>
  <si>
    <t>dekhaam, deejie, intajaar</t>
  </si>
  <si>
    <t>common_voice_ur_31841748.wav</t>
  </si>
  <si>
    <t>اورامریکہ سے بھی۔</t>
  </si>
  <si>
    <t>aoraamarika se bhi.</t>
  </si>
  <si>
    <t>और अम्बेडका से भी</t>
  </si>
  <si>
    <t>aur ambedka se bhi</t>
  </si>
  <si>
    <t>aur, ambedka</t>
  </si>
  <si>
    <t>common_voice_ur_31841774.wav</t>
  </si>
  <si>
    <t>کرکٹ تعلقات کی بحالی کیلئے شہریار خان راجیو شکلا کے گھرپہنچ گئے</t>
  </si>
  <si>
    <t>karkat talqaat ki bahali kilaie shahariaar khaan raajio shakala ke gharpahnach gaye</t>
  </si>
  <si>
    <t>क्रिकेट तालुकाधीश बहाली के लिए शहريयारहान राजेश शिकला के घर पहुंच गए</t>
  </si>
  <si>
    <t>cricket taalukaadheesh bahali ke liye shahريyaarahaan raajesh shikla ke ghar pahunch gae</t>
  </si>
  <si>
    <t>cricket, taalukaadheesh, liye, shahريyaarahaan, raajesh, shikla, ke, ghar, pahunch</t>
  </si>
  <si>
    <t>common_voice_ur_31841777.wav</t>
  </si>
  <si>
    <t>سَب کُچھ وہی</t>
  </si>
  <si>
    <t>sab kuch ohi</t>
  </si>
  <si>
    <t>सब कुछ वही</t>
  </si>
  <si>
    <t>sab kuch wahi</t>
  </si>
  <si>
    <t>wahi</t>
  </si>
  <si>
    <t>common_voice_ur_31841796.wav</t>
  </si>
  <si>
    <t>مینڈک کی طرح ہمیں اپنے چھوٹے کنوئیں میں</t>
  </si>
  <si>
    <t>mindak ki tarah hamin apane chhote kanoiin mein</t>
  </si>
  <si>
    <t>मेंढक की तरह हमें अपने छोटे कुएँ में</t>
  </si>
  <si>
    <t>mendhak ki tarah hamein apne chote kuen mein</t>
  </si>
  <si>
    <t>kuen</t>
  </si>
  <si>
    <t>common_voice_ur_31841797.wav</t>
  </si>
  <si>
    <t>مسلمان رہ گئے تھے۔</t>
  </si>
  <si>
    <t>maslmaan ra gaye thay.</t>
  </si>
  <si>
    <t>मुसलमान रह गए थे।</t>
  </si>
  <si>
    <t>musalamaan rah gae the.</t>
  </si>
  <si>
    <t>common_voice_ur_31841819.wav</t>
  </si>
  <si>
    <t>اسی اتحاد میں دوسری مسلکی جماعتیں بھی شامل تھیں۔</t>
  </si>
  <si>
    <t>asi athaad mein dosari maslaki jmaatin bhi shaamal thin.</t>
  </si>
  <si>
    <t>इसी इतिहाद में दूसरी मसल की जमातें भी शामिल थीं।</t>
  </si>
  <si>
    <t>isi itihaad mein doosri masal ki jamaaten bhi shaamil thin.</t>
  </si>
  <si>
    <t>isi, masal, ki</t>
  </si>
  <si>
    <t>common_voice_ur_31841833.wav</t>
  </si>
  <si>
    <t>بنیادی انسانی حقوق کا احترام جمہوریت کا حصہ ہے۔</t>
  </si>
  <si>
    <t>baniaadi anasani haqoq ka ahtraam jamahorit ka hasa hai.</t>
  </si>
  <si>
    <t>उन्नताधीन इंसानी हकों का एतराम जम्हूरियत का हिस्सा है।</t>
  </si>
  <si>
    <t>unnataadheen insani hakon ka etaraam jamhooriyat ka hissa hai.</t>
  </si>
  <si>
    <t>unnataadheen, hakon, hissa</t>
  </si>
  <si>
    <t>common_voice_ur_31841858.wav</t>
  </si>
  <si>
    <t>پولینیشیا</t>
  </si>
  <si>
    <t>polinishiaa</t>
  </si>
  <si>
    <t>بولينيشيا.</t>
  </si>
  <si>
    <t>بولينيشيا</t>
  </si>
  <si>
    <t>common_voice_ur_31841912.wav</t>
  </si>
  <si>
    <t>یہ بات ان کی سمجھ میں نہیں آ رہی۔</t>
  </si>
  <si>
    <t>yeh baat in ki samajh mein nahi aa rahi.</t>
  </si>
  <si>
    <t>ये बात इनके समझ में नहीं आ रही.</t>
  </si>
  <si>
    <t>yeh baat inke samajh mein nahi aa rahi.</t>
  </si>
  <si>
    <t>inke</t>
  </si>
  <si>
    <t>common_voice_ur_31841917.wav</t>
  </si>
  <si>
    <t>پر کشیدگی ہو،</t>
  </si>
  <si>
    <t>par kashidagi ho,</t>
  </si>
  <si>
    <t>प्रकशितगी हो</t>
  </si>
  <si>
    <t>prakashitgi ho</t>
  </si>
  <si>
    <t>common_voice_ur_31841919.wav</t>
  </si>
  <si>
    <t>کیونکہ قومی ٹیم کی خامیاں جنوبی افریقہ اور سری لنکا کے خلاف مصیبتوں کا پھندہ بن سکتی ہیں</t>
  </si>
  <si>
    <t>kionka qomi tim ki khaamiaan janobi afariqa aur sari lanaka ke khlaaf masibaton ka phanda ban sakati hain</t>
  </si>
  <si>
    <t>क्योंकि कमिटी की हामियां ज़िनोबी अफ्रीका और श्रीलंका के खिलाफ मुसीबतों का बंदा बन सकती हैं।</t>
  </si>
  <si>
    <t>kyonki kamiti ki haamiyaan zinobi aphreeka aur shreelanka ke khilaaph museebaton ka banda ban sakti hain.</t>
  </si>
  <si>
    <t>kyonki, kamiti, zinobi, aphreeka, shreelanka</t>
  </si>
  <si>
    <t>common_voice_ur_31841928.wav</t>
  </si>
  <si>
    <t>لالیگا لیگ رئیل بیٹس نے جیرونا کو شکست دیدی</t>
  </si>
  <si>
    <t>laaliga lig raiil bitas ne jirona ko shaksat didi</t>
  </si>
  <si>
    <t>ललिकल लीग रॉयल पेट्स ने जेरोना को ठीकस दे दी।</t>
  </si>
  <si>
    <t>lalikal leeg royal pets ne jerona ko theekas de D.</t>
  </si>
  <si>
    <t>leeg, royal, pets, theekas, de, d</t>
  </si>
  <si>
    <t>common_voice_ur_31841929.wav</t>
  </si>
  <si>
    <t>کہ اس عمل کی دوران میں جو زلزلی آئیں گی وہ مزید زلزلوں کو جنم دینی کا باعث بن سکتی ہیں</t>
  </si>
  <si>
    <t>ke is mal ki doraan mein jo zalzali aaiin gi woh mazid zalzalon ko janam dini ka baas ban sakati hain</t>
  </si>
  <si>
    <t>कि इस अमल के दौरान में जो जल्दी आएंगी वो मजेद जल्दियों को जन्म देने का बाइस बन सकती हैं।</t>
  </si>
  <si>
    <t>ki is amal ke dauraan mein jo jaldi aaengi woh majed jaldiyon ko janm dene ka baais ban sakti hain.</t>
  </si>
  <si>
    <t>ki, is, amal, jaldi, aaengi, majed, jaldiyon, dene</t>
  </si>
  <si>
    <t>common_voice_ur_31841948.wav</t>
  </si>
  <si>
    <t>تو میچ پھر سہی۔</t>
  </si>
  <si>
    <t>to mich phir sahi.</t>
  </si>
  <si>
    <t>तो मैच फिर से ही.</t>
  </si>
  <si>
    <t>to match phir se hi.</t>
  </si>
  <si>
    <t>match, se, hi</t>
  </si>
  <si>
    <t>common_voice_ur_31841959.wav</t>
  </si>
  <si>
    <t>کاربن ڈائی آکسائیڈ خارج کرتے ہیں</t>
  </si>
  <si>
    <t>kaarban daaii aaksaaiid khaaraj karate hain</t>
  </si>
  <si>
    <t>कार्बन डाइऑक्साइड हार्ज करते हैं।</t>
  </si>
  <si>
    <t>kaarban daaioksaaid haarj karte hain.</t>
  </si>
  <si>
    <t>common_voice_ur_31841960.wav</t>
  </si>
  <si>
    <t>معمول کے یونیکوڈ کی چھٹائی کریں</t>
  </si>
  <si>
    <t>mamol ke ionikod ki chhtaaii karein</t>
  </si>
  <si>
    <t>मामूल की यूनीकोड की चटाई करें।</t>
  </si>
  <si>
    <t>maamool ki yooneekod ki chataai karein.</t>
  </si>
  <si>
    <t>yooneekod, ki</t>
  </si>
  <si>
    <t>common_voice_ur_31841973.wav</t>
  </si>
  <si>
    <t>، تو پھر کس اچھے وقت کی امید رکھی جا سکتی ہے ۔</t>
  </si>
  <si>
    <t>, to phir kis achhe waqt ki amid Rakhi ja sakati hai .</t>
  </si>
  <si>
    <t>तो फिर किसी अच्छे वक्त की उम्मीद रखी जा सकती है।</t>
  </si>
  <si>
    <t>to phir kisi achche waqt ki ummeed Rakhi ja sakti hai.</t>
  </si>
  <si>
    <t>ummeed</t>
  </si>
  <si>
    <t>common_voice_ur_31841980.wav</t>
  </si>
  <si>
    <t>پالیسی بیان انے تک بھارتی میڈیا کی خبر کی اہمیت نہیںنجم سیٹھی</t>
  </si>
  <si>
    <t>paalisi biaan ane tak bhaarati midiaa ki khabar ki ahamit nahinnajam sithi</t>
  </si>
  <si>
    <t>पॉलिसी बयान इन्हें आने तक भारतीय मीडिया की हबर की एमियत नहीं जन्म सिटी</t>
  </si>
  <si>
    <t>polisi bayaan inhein aane tak bhaarateey meediya ki habar ki emiyat nahi janm siti</t>
  </si>
  <si>
    <t>inhein, meediya, emiyat, nahi, janm</t>
  </si>
  <si>
    <t>common_voice_ur_31841982.wav</t>
  </si>
  <si>
    <t>اور معاشی صورت حال اس نہج پر پہنچ</t>
  </si>
  <si>
    <t>aur maaashi sorat haal is nahaj par pahnach</t>
  </si>
  <si>
    <t>और मार्शल सुरक्षा अदालत न्यायिक पर पहुंची।</t>
  </si>
  <si>
    <t>aur maarshal suraksha adaalat nyaayik par pahunchi.</t>
  </si>
  <si>
    <t>maarshal, suraksha, adaalat, nyaayik</t>
  </si>
  <si>
    <t>common_voice_ur_31842018.wav</t>
  </si>
  <si>
    <t>مجھے اپنی تقدیر پر بھروسہ ہے</t>
  </si>
  <si>
    <t>mujhe apni taqadir par bharosa hai</t>
  </si>
  <si>
    <t>मुझे अपने तकदीर पर भरोसा है।</t>
  </si>
  <si>
    <t>mujhe apne takadeer par bharosa hai.</t>
  </si>
  <si>
    <t>takadeer</t>
  </si>
  <si>
    <t>common_voice_ur_31842027.wav</t>
  </si>
  <si>
    <t>آج دکان دار کو کوئی اندیشہ ہے</t>
  </si>
  <si>
    <t>aaj dkaan daar ko koi anadisha hai</t>
  </si>
  <si>
    <t>आज दुकानदार को कोई इंदेशा है।</t>
  </si>
  <si>
    <t>aaj dukaanadaar ko koi indesha hai.</t>
  </si>
  <si>
    <t>dukaanadaar, indesha</t>
  </si>
  <si>
    <t>common_voice_ur_31842032.wav</t>
  </si>
  <si>
    <t>کیربئین پریمئیر لیگ گیل کی عمدہ بیٹنگ کے باوجود ٹیم فتح سے ہمکنار نہ ہو پائی</t>
  </si>
  <si>
    <t>kirbaiin parimaiir lig gil ki mada bitnag ke baaojod tim fatah se hamknaar na ho paaii</t>
  </si>
  <si>
    <t>क्रैपियन प्रीमियर लीग गेल की अमूम्दा बैटिंग के बावजूद टीम फतह से हम क़नार ना हो पाई</t>
  </si>
  <si>
    <t>kraipiyan preemiyar leeg gel ki amoomda baiting ke baawajood team phatah se hum qanaar na ho paai</t>
  </si>
  <si>
    <t>preemiyar, leeg, gel, amoomda, team, hum</t>
  </si>
  <si>
    <t>common_voice_ur_31842036.wav</t>
  </si>
  <si>
    <t>جو مجھ سے کہا جاتا ہے اس کے بر عکس کرتا ہوں</t>
  </si>
  <si>
    <t>jo majh se kaha jaata hai is ke bar kas karta hoon</t>
  </si>
  <si>
    <t>जो मुझसे कहा जाता है उसके वर्क्स करता हूँ।</t>
  </si>
  <si>
    <t>jo mujhse kaha jaata hai uske warks karta hoon.</t>
  </si>
  <si>
    <t>mujhse, uske, warks</t>
  </si>
  <si>
    <t>common_voice_ur_31842047.wav</t>
  </si>
  <si>
    <t>اس نے کچھ سنا ہی نہیں ہو۔</t>
  </si>
  <si>
    <t>is ne kachh suna hi nahi ho.</t>
  </si>
  <si>
    <t>इसने को सुना ही नहीं हो।</t>
  </si>
  <si>
    <t>isne ko suna hi nahi ho.</t>
  </si>
  <si>
    <t>isne, ko</t>
  </si>
  <si>
    <t>common_voice_ur_31842048.wav</t>
  </si>
  <si>
    <t>ﭨﮭﻮﻧﺲ ﺩﯾﺘﮯ ﺗﮭﮯ</t>
  </si>
  <si>
    <t>टॉन्स देते थे.</t>
  </si>
  <si>
    <t>tons dete the.</t>
  </si>
  <si>
    <t>tons, dete, the</t>
  </si>
  <si>
    <t>common_voice_ur_31842049.wav</t>
  </si>
  <si>
    <t>وہ انہیں کبھی بھلا نہیں سکیں گے۔</t>
  </si>
  <si>
    <t>woh anahin kabhi bhala nahi sakin ge.</t>
  </si>
  <si>
    <t>वो इन्हें कभी बुला नहीं सकेंगे।</t>
  </si>
  <si>
    <t>woh inhein kabhi bula nahi sakenge.</t>
  </si>
  <si>
    <t>inhein, bula, sakenge</t>
  </si>
  <si>
    <t>common_voice_ur_31860641.wav</t>
  </si>
  <si>
    <t>آپ کی آفس میں کام کرتے ہیں۔</t>
  </si>
  <si>
    <t>aap ki aafas mein kaam karate hain.</t>
  </si>
  <si>
    <t>आपकी ऑफिस में काम करते हैं?</t>
  </si>
  <si>
    <t>aapki office mein kaam karte hain?</t>
  </si>
  <si>
    <t>office</t>
  </si>
  <si>
    <t>common_voice_ur_31860650.wav</t>
  </si>
  <si>
    <t>کچھ کرتوتوں کی مار ہے۔</t>
  </si>
  <si>
    <t>kachh karatoton ki maar hai.</t>
  </si>
  <si>
    <t>कुछ करतोतों की मार है।</t>
  </si>
  <si>
    <t>kuch karatoton ki maar hai.</t>
  </si>
  <si>
    <t>common_voice_ur_31860667.wav</t>
  </si>
  <si>
    <t>اور اس کے علاوہ اور بھی بہت کچھ ہمارے قارئین جان چکے ہیں ۔</t>
  </si>
  <si>
    <t>aur is ke laao aur bhi bahat kachh humare qaaraiin jaan chake hain .</t>
  </si>
  <si>
    <t>और इसके अलावा और भी बहुत कुछ हमारे काराइन जान चुके हैं।</t>
  </si>
  <si>
    <t>aur iske alawa aur bhi bahut kuch hamare kaaraain jaan chuke hain.</t>
  </si>
  <si>
    <t>iske, alawa, kuch</t>
  </si>
  <si>
    <t>common_voice_ur_31860670.wav</t>
  </si>
  <si>
    <t>حکومت پاکستان کی بہترین حکمت عملی کی بنیاد پر ملکی خزانے میں ارب روپے کا اضافہ ہوگیا ہے</t>
  </si>
  <si>
    <t>hakomat Pakistan ki bahtarin hakmat mali ki baniaad par malaki khazane mein arab rope ka azafa hogiaa hai</t>
  </si>
  <si>
    <t>भुक्मते पाकिस्तान की बेहतरीन वर्तमाने अमली की बनावट पर मूल की हजाने में अरब रुपए का जफ़ा हो गया है।</t>
  </si>
  <si>
    <t>bhukmate Pakistan ki behatareen wartamane amli ki banaawat par mool ki hajane mein arab rupae ka jafa ho gaya hai.</t>
  </si>
  <si>
    <t>bhukmate, behatareen, wartamane, banaawat, mool, ki, rupae, jafa, ho, gaya</t>
  </si>
  <si>
    <t>common_voice_ur_31860676.wav</t>
  </si>
  <si>
    <t>جو ہمارے مسائل ہیں۔</t>
  </si>
  <si>
    <t>jo humare msaail hain.</t>
  </si>
  <si>
    <t>जो हमारे मसाइल हैं, जो</t>
  </si>
  <si>
    <t>jo hamare masaail hain, jo</t>
  </si>
  <si>
    <t>jo</t>
  </si>
  <si>
    <t>common_voice_ur_31860680.wav</t>
  </si>
  <si>
    <t>پاکستانی ڈس ایبلڈ کرکٹ ٹیم ٹرافی کے ہمراہ لندن سے کراچی پہنچ گئی</t>
  </si>
  <si>
    <t>Pakistani das aiblad karkat tim tarafi ke hamara London se Karachi pahnach gayi</t>
  </si>
  <si>
    <t>पाकिस्तान डेस सेपरेट क्रिकेट टीम ट्रॉफी के हमरा लंदन से क्राची पहुंच गई।</t>
  </si>
  <si>
    <t>Pakistan des separet cricket team trophi ke hamra London se kraachi pahunch gai.</t>
  </si>
  <si>
    <t>des, separet, cricket, team, trophi</t>
  </si>
  <si>
    <t>common_voice_ur_31860697.wav</t>
  </si>
  <si>
    <t>ملک میں معاشی سرگرمی نہیں ہو گی۔</t>
  </si>
  <si>
    <t>malak mein maaashi sargarami nahi ho gi.</t>
  </si>
  <si>
    <t>मुल्क में माइशियस अर्घर्मी नहीं होगी।</t>
  </si>
  <si>
    <t>mulk mein maaishiyas argharmi nahi hogi.</t>
  </si>
  <si>
    <t>mulk, hogi</t>
  </si>
  <si>
    <t>common_voice_ur_31860699.wav</t>
  </si>
  <si>
    <t>چیچن</t>
  </si>
  <si>
    <t>chichan</t>
  </si>
  <si>
    <t>चीजन</t>
  </si>
  <si>
    <t>cheejan</t>
  </si>
  <si>
    <t>common_voice_ur_31860709.wav</t>
  </si>
  <si>
    <t>گندم کے بعد اب چینی کی درامد پر بھی ریگولیٹری ڈیوٹی ختم</t>
  </si>
  <si>
    <t>gandam ke baad ab chini ki draamad par bhi rigolitari dioti khatam</t>
  </si>
  <si>
    <t>गंदम के बाद अब चीनी की दरामत पर भी रेगुलेटरी ड्यूटी हैतम</t>
  </si>
  <si>
    <t>gandam ke baad ab cheeni ki daraamat par bhi reguletri dyooti haitam</t>
  </si>
  <si>
    <t>reguletri</t>
  </si>
  <si>
    <t>common_voice_ur_31860720.wav</t>
  </si>
  <si>
    <t>اوشیانیا</t>
  </si>
  <si>
    <t>aoshiaaniaa</t>
  </si>
  <si>
    <t>Oceania.</t>
  </si>
  <si>
    <t>oceania</t>
  </si>
  <si>
    <t>common_voice_ur_31860723.wav</t>
  </si>
  <si>
    <t>پاکستانی سیاست کا حال اور یہی ہے۔</t>
  </si>
  <si>
    <t>Pakistani siaasat ka haal aur ihi hai.</t>
  </si>
  <si>
    <t>पाकिस्तानी राजनीति का हाल और यही है।</t>
  </si>
  <si>
    <t>paakistani raajaneeti ka haal aur yahi hai.</t>
  </si>
  <si>
    <t>raajaneeti, yahi</t>
  </si>
  <si>
    <t>common_voice_ur_31860735.wav</t>
  </si>
  <si>
    <t>یوں ہم پکے مسلمان ہوگئے بلکہ کچھ کچھ حافظ جی بھی کہ کچھ آیات زبانی یاد تھیں اور کئی کے ترجمے بھی</t>
  </si>
  <si>
    <t>ion hum pake maslmaan hogaie balka kachh kachh haafaz ji bhi ke kachh aaiaat zabani iaad thin aur kaii ke tarjame bhi</t>
  </si>
  <si>
    <t>जो हम के मुसलमान होके बल्के कुछ कुछ हाफिज जी भी कुछ आयात ज्ञानी याद थी और कहीं के तर्ज में भी</t>
  </si>
  <si>
    <t>jo hum ke musalamaan hoke balke kuch kuch haaphij ji bhi kuch aayaat gyani yaad thi aur kahin ke tarj mein bhi</t>
  </si>
  <si>
    <t>jo, ke, hoke, kuch, kuch, haaphij, kuch, aayaat, gyani, yaad, thi, aur, kahin, mein</t>
  </si>
  <si>
    <t>common_voice_ur_31860736.wav</t>
  </si>
  <si>
    <t>ائیسویں ترمیم کیوں؟</t>
  </si>
  <si>
    <t>aiisoin taramim kyun?</t>
  </si>
  <si>
    <t>आइस्वी तरमीम क्यों</t>
  </si>
  <si>
    <t>aaiswi tarameem kyon</t>
  </si>
  <si>
    <t>aaiswi</t>
  </si>
  <si>
    <t>common_voice_ur_31860738.wav</t>
  </si>
  <si>
    <t>مگر اب گوادر پر اجارہ داری اور اس پر قبضہ ہندوستان کا خواب بن کے رہ گیا۔</t>
  </si>
  <si>
    <t>magar ab goaadar par ajara dari aur is par qabza Hindustan ka khoaab ban ke ra gaya.</t>
  </si>
  <si>
    <t>मगर अब ग्वादर पर जारा दारी और इस पर कब्जा अंदरूस्तान का फावड़ा बन के रह गया।</t>
  </si>
  <si>
    <t>magar ab gwaadar par jara dari aur is par kabja andaroostaan ka phaawra ban ke rah gaya.</t>
  </si>
  <si>
    <t>kabja, andaroostaan, phaawra</t>
  </si>
  <si>
    <t>common_voice_ur_31860750.wav</t>
  </si>
  <si>
    <t>اسٹونین</t>
  </si>
  <si>
    <t>asatonin</t>
  </si>
  <si>
    <t>Astonian.</t>
  </si>
  <si>
    <t>common_voice_ur_31860753.wav</t>
  </si>
  <si>
    <t>اس بار یہ حکمت عملی تبدیل ہو چکی اس کی ایک جھلک</t>
  </si>
  <si>
    <t>is baar yeh hakmat mali tabadil ho chaki is ki aik jhalak</t>
  </si>
  <si>
    <t>इस पर ये हिकमतें अमली तब्दील हो कि इसकी एक जलक</t>
  </si>
  <si>
    <t>is par yeh hikamaten amli tabdeel ho ki iski ek jalak</t>
  </si>
  <si>
    <t>par, hikamaten, iski, ek</t>
  </si>
  <si>
    <t>common_voice_ur_31860759.wav</t>
  </si>
  <si>
    <t>یہ بھی سمجھ رہے ہوں۔</t>
  </si>
  <si>
    <t>yeh bhi samajh rahe hoon.</t>
  </si>
  <si>
    <t>ये भी समझ रहे हूँ।</t>
  </si>
  <si>
    <t>common_voice_ur_31860760.wav</t>
  </si>
  <si>
    <t>وین پارنیل نے بھی کولپاک ڈیل پر دستخط کردیے</t>
  </si>
  <si>
    <t>oin paaranil ne bhi kolpaak dil par dastakhat karadie</t>
  </si>
  <si>
    <t>वेंट्स ऑर्नल ने भी कोलपाक डील पर दस्तखत कर दिए।</t>
  </si>
  <si>
    <t>wents ornal ne bhi kolapaak deel par dastakhat kar diye.</t>
  </si>
  <si>
    <t>wents, ornal, deel, kar, diye</t>
  </si>
  <si>
    <t>common_voice_ur_31860763.wav</t>
  </si>
  <si>
    <t>جب کوئی اختلافی صورت نمودار ہوتی، خلیفہ کے سامنے معاملہ پیش کرتے</t>
  </si>
  <si>
    <t>jab koi akhtalafi sorat namodaar hoti, khalifa ke saamane maaamla pish karate</t>
  </si>
  <si>
    <t>जब कोई इक्तलाफी सुरत नमूदार होती, खलीफा के सामने मामला पेश करते।</t>
  </si>
  <si>
    <t>jab koi iktalaaphi surat namoodaar hoti, khaleepha ke saamne maamla pesh karte.</t>
  </si>
  <si>
    <t>iktalaaphi, khaleepha</t>
  </si>
  <si>
    <t>common_voice_ur_31860774.wav</t>
  </si>
  <si>
    <t>رشتے عمر کے ہر مر حلے پر سکون کی علامت ہوتے ہیں۔</t>
  </si>
  <si>
    <t>rashate mar ke har mar hale par sakon ki laamat hote hain.</t>
  </si>
  <si>
    <t>रिश्तेऊमर की हर मरहले पर पुरस्कून की अलामत होते हैं।</t>
  </si>
  <si>
    <t>rishteoomar ki har marahle par puraskoon ki alaamat hote hain.</t>
  </si>
  <si>
    <t>rishteoomar, ki, marahle, puraskoon</t>
  </si>
  <si>
    <t>common_voice_ur_31860776.wav</t>
  </si>
  <si>
    <t>تو وہ حالات کو کنٹرول نہ کر سکیں۔</t>
  </si>
  <si>
    <t>to woh halaat ko kantarol na kar sakin.</t>
  </si>
  <si>
    <t>तो वो हालात को कंट्रोल ना कर सकें।</t>
  </si>
  <si>
    <t>to woh haalaat ko kantrol na kar saken.</t>
  </si>
  <si>
    <t>common_voice_ur_31860778.wav</t>
  </si>
  <si>
    <t>میرے آنکھوں کو سامنے ایک ندی ہے</t>
  </si>
  <si>
    <t>mire aanakhon ko saamane aik nadi hai</t>
  </si>
  <si>
    <t>मेरी आंखों के सामने एक नदी है।</t>
  </si>
  <si>
    <t>meri aankhon ke saamne ek nadi hai.</t>
  </si>
  <si>
    <t>meri, ke, ek</t>
  </si>
  <si>
    <t>common_voice_ur_31860779.wav</t>
  </si>
  <si>
    <t>ٹھنڈی ہوا چل رہی تھی</t>
  </si>
  <si>
    <t>thanadi hua chal rahi thi</t>
  </si>
  <si>
    <t>ठंडी वाल चल रही है।</t>
  </si>
  <si>
    <t>thandi waal chal rahi hai.</t>
  </si>
  <si>
    <t>waal, hai</t>
  </si>
  <si>
    <t>common_voice_ur_31860781.wav</t>
  </si>
  <si>
    <t>بے صرفہ ہی گزرتی ہے ہو گرچہ عمر خضر</t>
  </si>
  <si>
    <t>be sarfa hi gazrati hai ho garcha mar khazar</t>
  </si>
  <si>
    <t>बेसरफा ही गुजरती है वो कर्जा उम्र हज़र</t>
  </si>
  <si>
    <t>besarpha hi gujarti hai woh karja umar hazar</t>
  </si>
  <si>
    <t>besarpha, woh, karja</t>
  </si>
  <si>
    <t>common_voice_ur_31860784.wav</t>
  </si>
  <si>
    <t>محمدحفیظ ٹیسٹ میچوں میں مسلسل سنچریاںبنانیوالے چھٹے پاکستانی بلے باز بن گئے</t>
  </si>
  <si>
    <t>mahmadhafiz test michon mein maslasal sanchariaanbnaanioaale chhate Pakistani bale baaz ban gaye</t>
  </si>
  <si>
    <t>मौमंद अफीस टेस्ट मैचों में मसल्सत संचरिया बनाने वाले छठे पाकिस्तानी बल्लेबाज बन गए हैं।</t>
  </si>
  <si>
    <t>maumand aphees test maichon mein masalsat sanchariya banane wale chathe paakistani ballebaaj ban gae hain.</t>
  </si>
  <si>
    <t>maumand, aphees, masalsat, sanchariya, banane, ballebaaj, hain</t>
  </si>
  <si>
    <t>common_voice_ur_31860798.wav</t>
  </si>
  <si>
    <t>خارجہ پالیسی ظاہر ہے کہ متنوع امور کا مجموعہ ہے۔</t>
  </si>
  <si>
    <t>khaarja paalisi zaahar hai ke matano amor ka majamo hai.</t>
  </si>
  <si>
    <t>हर्जा पुलिसी जाहिर है कि मत्तनो अमौर का मजमून है।</t>
  </si>
  <si>
    <t>harja pulisi jaahir hai ki mattano amaur ka majamoon hai.</t>
  </si>
  <si>
    <t>jaahir, ki, amaur</t>
  </si>
  <si>
    <t>common_voice_ur_31860799.wav</t>
  </si>
  <si>
    <t>پولیس کرپٹ تھی۔</t>
  </si>
  <si>
    <t>polis karpat thi.</t>
  </si>
  <si>
    <t>पुलिस क्रूर थी।</t>
  </si>
  <si>
    <t>police kroor thi.</t>
  </si>
  <si>
    <t>kroor</t>
  </si>
  <si>
    <t>common_voice_ur_31860801.wav</t>
  </si>
  <si>
    <t>بنگلادیش کرکٹ بورڈ کے وفد کا قذافی اسٹیڈیم کا دورہ</t>
  </si>
  <si>
    <t>banglaadish karkat borad ke ofad ka qazafi asatidim ka daura</t>
  </si>
  <si>
    <t>बंगलादेश क्रिकेट बोर्ड की वापित का कजाफी स्टेडियम का दौरा</t>
  </si>
  <si>
    <t>bangalaadesh cricket bord ki waapit ka kajaaphi stediyam ka daura</t>
  </si>
  <si>
    <t>cricket, ki, waapit, kajaaphi, stediyam</t>
  </si>
  <si>
    <t>common_voice_ur_31860809.wav</t>
  </si>
  <si>
    <t>پاکستان جونئیر ہاکی ٹیم کے دو سگے بھائی جرمن کلب کے ساتھ منسلک</t>
  </si>
  <si>
    <t>Pakistan jonaiir haki tim ke do sage bhaaii jarman kalab ke saath mansalak</t>
  </si>
  <si>
    <t>पाकिस्तान जूनियर हॉकी टीम की दोस्त दोस्तगे बाई जर्मन क्लब के साथ मंसलेग।</t>
  </si>
  <si>
    <t>Pakistan jooniyar hockey team ki dost dostage baai jarman klab ke saath mansaleg.</t>
  </si>
  <si>
    <t>jooniyar, hockey, team, ki, dost</t>
  </si>
  <si>
    <t>common_voice_ur_31860811.wav</t>
  </si>
  <si>
    <t>جلد بازی میں ذہن میں آیا خرید لیا</t>
  </si>
  <si>
    <t>jald bazi mein zahan mein aaya kharid liya</t>
  </si>
  <si>
    <t>چل بازی می زین می آیا خرید لیا.</t>
  </si>
  <si>
    <t>چل, بازی, می, زین, می, آیا, خرید, لیا</t>
  </si>
  <si>
    <t>common_voice_ur_31860813.wav</t>
  </si>
  <si>
    <t>وزیراعظم غیر ضروری ود ہولڈنگ ٹیکس ختم کرنے کے خواہاں</t>
  </si>
  <si>
    <t>oziraazam ghir zarori od holdanag tikas khatam karane ke khoahaan</t>
  </si>
  <si>
    <t>بازیرازم غیرضروری withholding تاکس ختم کردن که همایا</t>
  </si>
  <si>
    <t>بازیرازم, غیرضروری, withholding, تاکس, ختم, کردن, که, همایا</t>
  </si>
  <si>
    <t>common_voice_ur_31860815.wav</t>
  </si>
  <si>
    <t>گے، پھر کیا ہو گا؟</t>
  </si>
  <si>
    <t>ge, phir kya ho ga?</t>
  </si>
  <si>
    <t>ये फिर क्या होगा?</t>
  </si>
  <si>
    <t>yeh phir kya hoga?</t>
  </si>
  <si>
    <t>yeh, hoga</t>
  </si>
  <si>
    <t>common_voice_ur_31860825.wav</t>
  </si>
  <si>
    <t>ان کی تحریر کا حصہ بنتے چلے جاتے ہیں</t>
  </si>
  <si>
    <t>in ki taharir ka hasa banate chale jate hain</t>
  </si>
  <si>
    <t>इनकी तैरीर का हिस्सा बनते चले जाते हैं।</t>
  </si>
  <si>
    <t>inki taireer ka hissa bante chale jate hain.</t>
  </si>
  <si>
    <t>inki, taireer, hissa</t>
  </si>
  <si>
    <t>common_voice_ur_31860826.wav</t>
  </si>
  <si>
    <t>سی بھی سرکاری یا پرائیوٹ چھٹی کے ساتھ</t>
  </si>
  <si>
    <t>si bhi sarakari ya praaiiot chhati ke saath</t>
  </si>
  <si>
    <t>सीबीसरकारी या प्राइवेट छुट्टी के साथ</t>
  </si>
  <si>
    <t>seebeesarakari ya praaiwet chutti ke saath</t>
  </si>
  <si>
    <t>chutti</t>
  </si>
  <si>
    <t>common_voice_ur_31860829.wav</t>
  </si>
  <si>
    <t>ملیالم</t>
  </si>
  <si>
    <t>maliaalam</t>
  </si>
  <si>
    <t>मल्यालिम</t>
  </si>
  <si>
    <t>malyaalim</t>
  </si>
  <si>
    <t>common_voice_ur_31860832.wav</t>
  </si>
  <si>
    <t>انگریس کے رکن بھی رہے تھے</t>
  </si>
  <si>
    <t>angaris ke rakan bhi rahe thay</t>
  </si>
  <si>
    <t>अंग्रेज के रकन भी रहे थे।</t>
  </si>
  <si>
    <t>angrej ke rakan bhi rahe the.</t>
  </si>
  <si>
    <t>angrej, the</t>
  </si>
  <si>
    <t>common_voice_ur_31860834.wav</t>
  </si>
  <si>
    <t>یہ ناکامی اس بیانیے کے فروغ کا کس حد تک باعث ہے؟</t>
  </si>
  <si>
    <t>yeh naakami is biaanie ke farogh ka kis had tak baas hai?</t>
  </si>
  <si>
    <t>ये नकामी इस प्यानीय के फरोक को किस हद तक पास है?</t>
  </si>
  <si>
    <t>yeh nakami is pyaaneey ke pharok ko kis had tak paas hai?</t>
  </si>
  <si>
    <t>pyaaneey, pharok, ko</t>
  </si>
  <si>
    <t>common_voice_ur_31860839.wav</t>
  </si>
  <si>
    <t>جو آہستہ آہستہ پاکستان کرکٹ کو صلاحیت کے حوالے سے بنجر کرتا جا رہا ہے ۔</t>
  </si>
  <si>
    <t>jo aahsata aahsata Pakistan karkat ko slaahit ke hoaale se banjar karta ja raha hai .</t>
  </si>
  <si>
    <t>जो आस्ताइस्ताइस्ता पाकिस्तान क्रिकेट को सलाइयत के अवाले से बंजर करता जा रहा है।</t>
  </si>
  <si>
    <t>jo aastaaistaaista Pakistan cricket ko salaaiyat ke awale se banjar karta ja raha hai.</t>
  </si>
  <si>
    <t>aastaaistaaista, cricket</t>
  </si>
  <si>
    <t>common_voice_ur_31860841.wav</t>
  </si>
  <si>
    <t>ایسپرانٹو</t>
  </si>
  <si>
    <t>aispraanato</t>
  </si>
  <si>
    <t>Aspirin two.</t>
  </si>
  <si>
    <t>aspirin, two</t>
  </si>
  <si>
    <t>common_voice_ur_31860850.wav</t>
  </si>
  <si>
    <t>جہاں موجود ہے۔</t>
  </si>
  <si>
    <t>jhaan maujood hai.</t>
  </si>
  <si>
    <t>जहाँ मौजूद है</t>
  </si>
  <si>
    <t>jahaan maujood hai</t>
  </si>
  <si>
    <t>common_voice_ur_31860853.wav</t>
  </si>
  <si>
    <t>جب دل چاھے گانا</t>
  </si>
  <si>
    <t>jab dal chahe gana</t>
  </si>
  <si>
    <t>चपतील चाय गाना</t>
  </si>
  <si>
    <t>chapateel chai gana</t>
  </si>
  <si>
    <t>chapateel, chai</t>
  </si>
  <si>
    <t>common_voice_ur_31860865.wav</t>
  </si>
  <si>
    <t>جسمانی طور پر بھی متاثر ہوئیں اور</t>
  </si>
  <si>
    <t>jasamani tor par bhi mtaasar hoiin aur</t>
  </si>
  <si>
    <t>जिस्मानी दौर पर भी मुतासिर हुए हैं।</t>
  </si>
  <si>
    <t>jismani daur par bhi mutaasir hue hain.</t>
  </si>
  <si>
    <t>daur, hue, hain</t>
  </si>
  <si>
    <t>common_voice_ur_31860866.wav</t>
  </si>
  <si>
    <t>تاہم اس میں بہت سے نئے فیچرزاور ایپلی کیشنز کو شامل کرنے کے ساتھ ساتھ موجودہ ورژن کی خامیوں کو بھی دور کیا گیا ہے</t>
  </si>
  <si>
    <t>taaham is mein bahat se naie fichrzaaor aipali kishnaz ko shaamal karane ke saath saath mojoda orzhan ki khaamion ko bhi dor kya gaya hai</t>
  </si>
  <si>
    <t>तम इसमें बहुत सी नए फीचर्स और एप्लीकेशंस को शामिल करने के साथ साथ मौजूदा वर्जन को भी खामियों को भी दूर किया गया है।</t>
  </si>
  <si>
    <t>tam isamen bahut si nae pheechars aur epleekeshans ko shaamil karne ke saath saath maujooda warjan ko bhi khaamiyon ko bhi door kiya gaya hai.</t>
  </si>
  <si>
    <t>tam, isamen, si, pheechars, aur, epleekeshans, warjan, khaamiyon, ko, bhi</t>
  </si>
  <si>
    <t>common_voice_ur_31860868.wav</t>
  </si>
  <si>
    <t>سیاست اور معیشت ایک دوسرے سے جڑے ہوئے ہیں۔</t>
  </si>
  <si>
    <t>siaasat aur maishat aik dosare se jare hoie hain.</t>
  </si>
  <si>
    <t>सियासत और माईशियत एक दूसरे से जुड़े हुए हैं।</t>
  </si>
  <si>
    <t>siyaasat aur maaeeshiyat ek doosre se jure hue hain.</t>
  </si>
  <si>
    <t>maaeeshiyat, ek, hue</t>
  </si>
  <si>
    <t>common_voice_ur_31860875.wav</t>
  </si>
  <si>
    <t>دیگر عبادت گاہوں میں بھی دعائیہ تقریبات کا اہتمام کیا گیا تھا</t>
  </si>
  <si>
    <t>digar baadat gaahon mein bhi daaaii taqaribaat ka ahtmaam kya gaya tha</t>
  </si>
  <si>
    <t>तीगर इबादत काउं में भी दाईया तकरीबाद का इत्माम किया गया था।</t>
  </si>
  <si>
    <t>teegar ibaadat kaaun mein bhi daaeeya takareebaad ka itmaam kiya gaya tha.</t>
  </si>
  <si>
    <t>teegar, kaaun, daaeeya, takareebaad</t>
  </si>
  <si>
    <t>common_voice_ur_31860877.wav</t>
  </si>
  <si>
    <t>یہ پہلے سے قائم مقدمے کے حق میں ایک نئی دلیل ہے۔</t>
  </si>
  <si>
    <t>yeh pehle se qaaim maqdame ke haq mein aik naii dalil hai.</t>
  </si>
  <si>
    <t>ये पहले से कायम मकतमे के हक में एक नई दलील है।</t>
  </si>
  <si>
    <t>yeh pahle se kaayam makatme ke hak mein ek nai daleel hai.</t>
  </si>
  <si>
    <t>kaayam, hak, ek</t>
  </si>
  <si>
    <t>common_voice_ur_31860888.wav</t>
  </si>
  <si>
    <t>قبل از اسلام دور جب اہل عرب شرک اور بت پرستی میں مبتلا تھے</t>
  </si>
  <si>
    <t>qabal az Islam dor jab ahal rab sharak aur bat parsati mein mabtala thay</t>
  </si>
  <si>
    <t>कबलअस इस्लाम दौरे जबल ऐहले अरब शर्क और बुद्ध परस्ती में मुतलाद हैं।</t>
  </si>
  <si>
    <t>kabalaas islaam daure jabal aihle arab shark aur buddh parasti mein mutalaad hain.</t>
  </si>
  <si>
    <t>kabalaas, daure, aihle, buddh, mutalaad, hain</t>
  </si>
  <si>
    <t>common_voice_ur_31860910.wav</t>
  </si>
  <si>
    <t>قوم کوراہنمائی چاہیے کہ مثبت تبدیلی کیسے آئے گی؟</t>
  </si>
  <si>
    <t>qom koraahnmaaii chahiye ke masbat tabadili kaise aaye gi?</t>
  </si>
  <si>
    <t>कौन को रेनवाई चाहिए कि मुसब्बत तब्दीली कैसे आई कि</t>
  </si>
  <si>
    <t>kaun ko renawaai chahiye ki musabbat tabdeeli kaise aai ki</t>
  </si>
  <si>
    <t>kaun, ko, renawaai, ki, aai, ki</t>
  </si>
  <si>
    <t>common_voice_ur_31860912.wav</t>
  </si>
  <si>
    <t>ہم جنیوا کنونشنز کو مانتے ہیں۔</t>
  </si>
  <si>
    <t>hum janioaa kanonshanaz ko maanate hain.</t>
  </si>
  <si>
    <t>हम जनेवा कन्वेंशंस को मानते हैं।</t>
  </si>
  <si>
    <t>hum janewa kanwenshans ko maante hain.</t>
  </si>
  <si>
    <t>janewa</t>
  </si>
  <si>
    <t>common_voice_ur_31860913.wav</t>
  </si>
  <si>
    <t>ماضی میں چونکہ ریاست کا کوئی آئین نہیں ہوتا تھا۔</t>
  </si>
  <si>
    <t>mazi mein chonka riaasat ka koi aaiin nahi hota tha.</t>
  </si>
  <si>
    <t>माझी में चूंकि रियासत का कोई आइन नहीं होता था।</t>
  </si>
  <si>
    <t>maajhi mein choonki riyaasat ka koi aain nahi hota tha.</t>
  </si>
  <si>
    <t>maajhi</t>
  </si>
  <si>
    <t>common_voice_ur_31860929.wav</t>
  </si>
  <si>
    <t>وہ اپنے زمانے کا آئن سٹائن ہو گا۔</t>
  </si>
  <si>
    <t>woh apane zamane ka aain staain ho ga.</t>
  </si>
  <si>
    <t>वो अपने ज़माने का इंस्टाइन होगा।</t>
  </si>
  <si>
    <t>woh apne zamane ka instaain hoga.</t>
  </si>
  <si>
    <t>common_voice_ur_31860931.wav</t>
  </si>
  <si>
    <t>نے متعلقہ ججوں کو مرتد یعنی دین سے منحرف</t>
  </si>
  <si>
    <t>ne matlaqa jajon ko martad ini din se manharaf</t>
  </si>
  <si>
    <t>ने मतालकत जजुंग को मर्तद यानी दीन से मनारिफ</t>
  </si>
  <si>
    <t>ne mataalakat jajung ko martad yani deen se manaariph</t>
  </si>
  <si>
    <t>yani, deen, manaariph</t>
  </si>
  <si>
    <t>common_voice_ur_31860934.wav</t>
  </si>
  <si>
    <t>حکمرانی اورگڈ گورننس۔</t>
  </si>
  <si>
    <t>hakmarani aorgad gornanas.</t>
  </si>
  <si>
    <t>उपनानी और गठबंधन</t>
  </si>
  <si>
    <t>upanani aur gathabandhan</t>
  </si>
  <si>
    <t>upanani, aur, gathabandhan</t>
  </si>
  <si>
    <t>common_voice_ur_31860935.wav</t>
  </si>
  <si>
    <t>سات جنموں کی قسم ٹنڈو دم میں اجتماعی ہندو شادی کی جھلکیاں</t>
  </si>
  <si>
    <t>saat janamon ki qasam tanado dam mein ajtmaai hanado shadi ki jhalakiaan</t>
  </si>
  <si>
    <t>सात जन्मों की कसम ठंडू दम में इस दमाई हिंदू शादी की चलकियां</t>
  </si>
  <si>
    <t>saat janmon ki kasam thandoo dam mein is damaai hindoo shadi ki chalakiyaan</t>
  </si>
  <si>
    <t>is, hindoo</t>
  </si>
  <si>
    <t>common_voice_ur_31860936.wav</t>
  </si>
  <si>
    <t>ماپوچے</t>
  </si>
  <si>
    <t>maapoche</t>
  </si>
  <si>
    <t>मापूछे</t>
  </si>
  <si>
    <t>maapooche</t>
  </si>
  <si>
    <t>common_voice_ur_31860938.wav</t>
  </si>
  <si>
    <t>ان کا خیال ہے کہ اب ان کو ایک اور موقع مل گیا ہے۔</t>
  </si>
  <si>
    <t>in ka khayal hai ke ab in ko aik aur moqa mal gaya hai.</t>
  </si>
  <si>
    <t>उनका ख्याल है कि आप इनको एक और मौका मिल गया है।</t>
  </si>
  <si>
    <t>unka khyaal hai ki aap inko ek aur mauka mil gaya hai.</t>
  </si>
  <si>
    <t>unka, ki, aap, inko, ek, mauka, mil</t>
  </si>
  <si>
    <t>common_voice_ur_31860954.wav</t>
  </si>
  <si>
    <t>الیکشن ہونے والے تھے</t>
  </si>
  <si>
    <t>alikshan hone oaale thay</t>
  </si>
  <si>
    <t>एलेक्शन होने वाले थे।</t>
  </si>
  <si>
    <t>elekshan hone wale the.</t>
  </si>
  <si>
    <t>wale, the</t>
  </si>
  <si>
    <t>common_voice_ur_31860955.wav</t>
  </si>
  <si>
    <t>بیوروکریسی کی مراعات پر زیادہ وسائل خرچ ہوتے ہیں۔</t>
  </si>
  <si>
    <t>biorokarisi ki mraaaat par ziaada osaail kharach hote hain.</t>
  </si>
  <si>
    <t>ब्यूरोक्रेसी की मराठ पर ज्यादा वसैल हर्ज होते हैं।</t>
  </si>
  <si>
    <t>byoorokresi ki maraath par jyada wasail harj hote hain.</t>
  </si>
  <si>
    <t>jyada, wasail, harj</t>
  </si>
  <si>
    <t>common_voice_ur_31860958.wav</t>
  </si>
  <si>
    <t>صرف پرانے پاکستان کو واپس لے آئیے۔</t>
  </si>
  <si>
    <t>saraf parane Pakistan ko oaapas le aaiie.</t>
  </si>
  <si>
    <t>सिर्फ पुरानी पाकिस्तान को वापस ले आएं।</t>
  </si>
  <si>
    <t>sirf purani Pakistan ko waapas le aayen.</t>
  </si>
  <si>
    <t>sirf, purani, aayen</t>
  </si>
  <si>
    <t>common_voice_ur_31860976.wav</t>
  </si>
  <si>
    <t>سرشاریہاں کے باشندوں کی مہمان نوازی اور برتائو سیاح کو ساری زندگی یاد رہتی ہیں ۔</t>
  </si>
  <si>
    <t>sarashaarihaan ke baashnadon ki mahmaan noaazi aur bartaaio siaah ko sari zandagi iaad rahati hain .</t>
  </si>
  <si>
    <t>सरसार यहाँ पांच शब्दों एक में मानवाजी और बढ़ताओं सियाह को सारी जिंदगी याद रहती हैं।</t>
  </si>
  <si>
    <t>sarasaar yahan panch shabdon ek mein maanawaji aur barhataaon siyaah ko sari jindagi yaad rahti hain.</t>
  </si>
  <si>
    <t>yahan, panch, ek, mein, maanawaji</t>
  </si>
  <si>
    <t>common_voice_ur_31860977.wav</t>
  </si>
  <si>
    <t>عدالتی مارشل لا کی باتیں بھی اسی سوچ کا مظہر ہیں۔</t>
  </si>
  <si>
    <t>daalati maarshal la ki baatin bhi asi soch ka mazhar hain.</t>
  </si>
  <si>
    <t>अदालती मार्शल्ला की बातें भी इसी सोच के मज़ारे हैं।</t>
  </si>
  <si>
    <t>adaalti maarshalla ki baaten bhi isi soch ke mazare hain.</t>
  </si>
  <si>
    <t>isi, ke</t>
  </si>
  <si>
    <t>common_voice_ur_31860978.wav</t>
  </si>
  <si>
    <t>جہانگیر اسکواش کی دوبارہ بحالی کیلئے پرامید</t>
  </si>
  <si>
    <t>jhaanagir asakoaash ki dobara bahali kilaie praamid</t>
  </si>
  <si>
    <t>जंगेर स्कॉश की दोबारा बहाली के लिए पुरामीद</t>
  </si>
  <si>
    <t>janger skosh ki dobara bahali ke liye puraameed</t>
  </si>
  <si>
    <t>janger, ke, liye</t>
  </si>
  <si>
    <t>common_voice_ur_31998030.wav</t>
  </si>
  <si>
    <t>اب کی بار معاملہ اورنازک ہوگیاہے۔</t>
  </si>
  <si>
    <t>ab ki baar maaamla aornaazak hogiaahe.</t>
  </si>
  <si>
    <t>आपकी बार मामला और नाजुक हो गया है।</t>
  </si>
  <si>
    <t>aapki baar maamla aur naajuk ho gaya hai.</t>
  </si>
  <si>
    <t>aapki, aur, naajuk, ho, gaya, hai</t>
  </si>
  <si>
    <t>common_voice_ur_31998052.wav</t>
  </si>
  <si>
    <t>غالبؔ تمہیں کہو کہ ملے گا جواب کیا</t>
  </si>
  <si>
    <t>ghaalabaؔ tamahin kaho ke mile ga joaab kya</t>
  </si>
  <si>
    <t>अगली तुम्हें कहो कि मिलेगा जवाब क्या?</t>
  </si>
  <si>
    <t>agli tumhein kaho ki milega jawaab kya?</t>
  </si>
  <si>
    <t>agli, ki</t>
  </si>
  <si>
    <t>Hindi ASR Evaluation — Summary</t>
  </si>
  <si>
    <t>Generated: 2026-05-20 17:41:08</t>
  </si>
  <si>
    <t>Total audios:</t>
  </si>
  <si>
    <t>Per-Method Accuracy Statistics</t>
  </si>
  <si>
    <t>Method</t>
  </si>
  <si>
    <t>Average %</t>
  </si>
  <si>
    <t>Min %</t>
  </si>
  <si>
    <t>Max %</t>
  </si>
  <si>
    <t>Std Dev %</t>
  </si>
  <si>
    <t>Script</t>
  </si>
  <si>
    <t>LLM</t>
  </si>
  <si>
    <t>Best-Performing Method (by average accuracy)</t>
  </si>
  <si>
    <t>Winner:</t>
  </si>
  <si>
    <t>Best average:</t>
  </si>
  <si>
    <t>Best &amp; Worst Sample per Method</t>
  </si>
  <si>
    <t>Best Sample</t>
  </si>
  <si>
    <t>Best %</t>
  </si>
  <si>
    <t>Worst Sample</t>
  </si>
  <si>
    <t>Worst %</t>
  </si>
  <si>
    <t>Mismatch Volume (rows with at least one mismatch)</t>
  </si>
  <si>
    <t>Rows With Mismatches</t>
  </si>
  <si>
    <t>% of Total</t>
  </si>
  <si>
    <t>Methodology</t>
  </si>
  <si>
    <t>Benchmark column (C): Urdu Nastaliq → Roman Urdu via the rule-based</t>
  </si>
  <si>
    <t xml:space="preserve">  urdu_to_roman_urdu script at the project root.</t>
  </si>
  <si>
    <t xml:space="preserve">  4-layer pipeline: word-level direct lookup (data/lexicons.json → urdu_direct)</t>
  </si>
  <si>
    <t xml:space="preserve">  → per-character phonemic map with default short-vowel insertion</t>
  </si>
  <si>
    <t xml:space="preserve">  → word-ending normalisation → shared CORRECTIONS lexicon.</t>
  </si>
  <si>
    <t xml:space="preserve">  Deterministic, offline, editable by adding entries to data/lexicons.json.</t>
  </si>
  <si>
    <t>Methods scored against the benchmark:</t>
  </si>
  <si>
    <t xml:space="preserve">  • Script (col E): hindi_to_roman_urdu.transliterate on the Hindi ASR output.</t>
  </si>
  <si>
    <t xml:space="preserve">  • LLM    (col F): Ollama Qwen3 transliteration of the Hindi ASR output.</t>
  </si>
  <si>
    <t>Accuracy: fuzzy word-level match against the script benchmark (col C).</t>
  </si>
  <si>
    <t xml:space="preserve">  Tokens within 70% character-similarity count as matches.</t>
  </si>
  <si>
    <t>Mismatched tokens are listed in cols I/J and highlighted in red inside</t>
  </si>
  <si>
    <t xml:space="preserve">  the corresponding Roman ASR cells (cols E/F).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</si>
</sst>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0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9"/>
      <color rgb="FF808080"/>
      <name val="Calibri"/>
      <family val="2"/>
    </font>
    <font>
      <sz val="11"/>
      <color theme="1"/>
      <name val="Calibri"/>
      <family val="2"/>
    </font>
    <font>
      <sz val="14"/>
      <color rgb="FFffffff"/>
      <name val="Calibri"/>
      <family val="2"/>
    </font>
    <font>
      <sz val="11"/>
      <color rgb="FF555555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  <font>
      <sz val="11"/>
      <color theme="1"/>
      <name val="Calibri"/>
      <family val="2"/>
    </font>
    <font>
      <sz val="11"/>
      <color rgb="FF00723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05496"/>
      </patternFill>
    </fill>
    <fill>
      <patternFill patternType="solid">
        <fgColor rgb="FFdce6f1"/>
      </patternFill>
    </fill>
    <fill>
      <patternFill patternType="solid">
        <fgColor rgb="FFe6f4ea"/>
      </patternFill>
    </fill>
  </fills>
  <borders count="4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3">
    <xf xfId="0" numFmtId="0" borderId="0" fontId="0" fillId="0"/>
    <xf xfId="0" numFmtId="0" borderId="1" applyBorder="1" fontId="1" applyFont="1" fillId="2" applyFill="1" applyAlignment="1">
      <alignment horizontal="center" wrapText="1"/>
    </xf>
    <xf xfId="0" numFmtId="4" applyNumberFormat="1" borderId="1" applyBorder="1" fontId="1" applyFont="1" fillId="2" applyFill="1" applyAlignment="1">
      <alignment horizontal="center" wrapText="1"/>
    </xf>
    <xf xfId="0" numFmtId="4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right" wrapText="1"/>
    </xf>
    <xf xfId="0" numFmtId="0" borderId="1" applyBorder="1" fontId="3" applyFont="1" fillId="0" applyAlignment="1">
      <alignment horizontal="left" wrapText="1"/>
    </xf>
    <xf xfId="0" numFmtId="4" applyNumberFormat="1" borderId="1" applyBorder="1" fontId="3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right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0" borderId="3" applyBorder="1" fontId="4" applyFont="1" fillId="2" applyFill="1" applyAlignment="1">
      <alignment horizontal="center"/>
    </xf>
    <xf xfId="0" numFmtId="0" borderId="2" applyBorder="1" fontId="5" applyFont="1" fillId="0" applyAlignment="1">
      <alignment horizontal="left"/>
    </xf>
    <xf xfId="0" numFmtId="0" borderId="2" applyBorder="1" fontId="6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3" applyBorder="1" fontId="7" applyFont="1" fillId="3" applyFill="1" applyAlignment="1">
      <alignment horizontal="left"/>
    </xf>
    <xf xfId="0" numFmtId="0" borderId="1" applyBorder="1" fontId="6" applyFont="1" fillId="4" applyFill="1" applyAlignment="1">
      <alignment horizontal="center"/>
    </xf>
    <xf xfId="0" numFmtId="0" borderId="1" applyBorder="1" fontId="6" applyFont="1" fillId="0" applyAlignment="1">
      <alignment horizontal="center"/>
    </xf>
    <xf xfId="0" numFmtId="0" borderId="1" applyBorder="1" fontId="8" applyFont="1" fillId="0" applyAlignment="1">
      <alignment horizontal="center"/>
    </xf>
    <xf xfId="0" numFmtId="0" borderId="3" applyBorder="1" fontId="9" applyFont="1" fillId="5" applyFill="1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6"/>
  <sheetViews>
    <sheetView workbookViewId="0"/>
  </sheetViews>
  <sheetFormatPr defaultRowHeight="15" x14ac:dyDescent="0.25"/>
  <cols>
    <col min="1" max="1" style="8" width="22.005" customWidth="1" bestFit="1"/>
    <col min="2" max="2" style="8" width="22.005" customWidth="1" bestFit="1"/>
    <col min="3" max="3" style="8" width="14.005" customWidth="1" bestFit="1"/>
    <col min="4" max="4" style="8" width="24.005" customWidth="1" bestFit="1"/>
    <col min="5" max="5" style="8" width="14.005" customWidth="1" bestFit="1"/>
  </cols>
  <sheetData>
    <row x14ac:dyDescent="0.25" r="1" customHeight="1" ht="22.5">
      <c r="A1" s="13" t="s">
        <v>2010</v>
      </c>
      <c r="B1" s="4"/>
      <c r="C1" s="4"/>
      <c r="D1" s="4"/>
      <c r="E1" s="4"/>
    </row>
    <row x14ac:dyDescent="0.25" r="2" customHeight="1" ht="18">
      <c r="A2" s="14" t="s">
        <v>2011</v>
      </c>
      <c r="B2" s="4"/>
      <c r="C2" s="4"/>
      <c r="D2" s="15" t="s">
        <v>2012</v>
      </c>
      <c r="E2" s="16">
        <f>COUNTA('Evaluation'!A2:A351)</f>
      </c>
    </row>
    <row x14ac:dyDescent="0.25" r="3" customHeight="1" ht="17.25">
      <c r="A3" s="4"/>
      <c r="B3" s="4"/>
      <c r="C3" s="4"/>
      <c r="D3" s="4"/>
      <c r="E3" s="4"/>
    </row>
    <row x14ac:dyDescent="0.25" r="4" customHeight="1" ht="19.5">
      <c r="A4" s="17" t="s">
        <v>2013</v>
      </c>
      <c r="B4" s="4"/>
      <c r="C4" s="4"/>
      <c r="D4" s="4"/>
      <c r="E4" s="4"/>
    </row>
    <row x14ac:dyDescent="0.25" r="5" customHeight="1" ht="18">
      <c r="A5" s="18" t="s">
        <v>2014</v>
      </c>
      <c r="B5" s="18" t="s">
        <v>2015</v>
      </c>
      <c r="C5" s="18" t="s">
        <v>2016</v>
      </c>
      <c r="D5" s="18" t="s">
        <v>2017</v>
      </c>
      <c r="E5" s="18" t="s">
        <v>2018</v>
      </c>
    </row>
    <row x14ac:dyDescent="0.25" r="6" customHeight="1" ht="18">
      <c r="A6" s="19" t="s">
        <v>2019</v>
      </c>
      <c r="B6" s="20">
        <f>IFERROR(ROUND(AVERAGE('Evaluation'!G2:G351),2),0)</f>
      </c>
      <c r="C6" s="20">
        <f>IFERROR(MIN('Evaluation'!G2:G351),0)</f>
      </c>
      <c r="D6" s="20">
        <f>IFERROR(MAX('Evaluation'!G2:G351),0)</f>
      </c>
      <c r="E6" s="20">
        <f>IFERROR(ROUND(STDEV('Evaluation'!G2:G351),2),0)</f>
      </c>
    </row>
    <row x14ac:dyDescent="0.25" r="7" customHeight="1" ht="18">
      <c r="A7" s="19" t="s">
        <v>2020</v>
      </c>
      <c r="B7" s="20">
        <f>IFERROR(ROUND(AVERAGE('Evaluation'!H2:H351),2),0)</f>
      </c>
      <c r="C7" s="20">
        <f>IFERROR(MIN('Evaluation'!H2:H351),0)</f>
      </c>
      <c r="D7" s="20">
        <f>IFERROR(MAX('Evaluation'!H2:H351),0)</f>
      </c>
      <c r="E7" s="20">
        <f>IFERROR(ROUND(STDEV('Evaluation'!H2:H351),2),0)</f>
      </c>
    </row>
    <row x14ac:dyDescent="0.25" r="8" customHeight="1" ht="17.25">
      <c r="A8" s="4"/>
      <c r="B8" s="4"/>
      <c r="C8" s="4"/>
      <c r="D8" s="4"/>
      <c r="E8" s="4"/>
    </row>
    <row x14ac:dyDescent="0.25" r="9" customHeight="1" ht="19.5">
      <c r="A9" s="17" t="s">
        <v>2021</v>
      </c>
      <c r="B9" s="4"/>
      <c r="C9" s="4"/>
      <c r="D9" s="4"/>
      <c r="E9" s="4"/>
    </row>
    <row x14ac:dyDescent="0.25" r="10" customHeight="1" ht="18">
      <c r="A10" s="15" t="s">
        <v>2022</v>
      </c>
      <c r="B10" s="21">
        <f>IF(B6&gt;=B7,"Script","LLM")</f>
      </c>
      <c r="C10" s="15" t="s">
        <v>2023</v>
      </c>
      <c r="D10" s="22">
        <f>MAX(B6,B7)</f>
      </c>
      <c r="E10" s="4"/>
    </row>
    <row x14ac:dyDescent="0.25" r="11" customHeight="1" ht="17.25">
      <c r="A11" s="4"/>
      <c r="B11" s="4"/>
      <c r="C11" s="4"/>
      <c r="D11" s="4"/>
      <c r="E11" s="4"/>
    </row>
    <row x14ac:dyDescent="0.25" r="12" customHeight="1" ht="19.5">
      <c r="A12" s="17" t="s">
        <v>2024</v>
      </c>
      <c r="B12" s="4"/>
      <c r="C12" s="4"/>
      <c r="D12" s="4"/>
      <c r="E12" s="4"/>
    </row>
    <row x14ac:dyDescent="0.25" r="13" customHeight="1" ht="18">
      <c r="A13" s="18" t="s">
        <v>2014</v>
      </c>
      <c r="B13" s="18" t="s">
        <v>2025</v>
      </c>
      <c r="C13" s="18" t="s">
        <v>2026</v>
      </c>
      <c r="D13" s="18" t="s">
        <v>2027</v>
      </c>
      <c r="E13" s="18" t="s">
        <v>2028</v>
      </c>
    </row>
    <row x14ac:dyDescent="0.25" r="14" customHeight="1" ht="18">
      <c r="A14" s="19" t="s">
        <v>2019</v>
      </c>
      <c r="B14" s="20">
        <f>IFERROR(INDEX('Evaluation'!A2:A351,MATCH(MAX('Evaluation'!G2:G351),'Evaluation'!G2:G351,0)),"")</f>
      </c>
      <c r="C14" s="20">
        <f>IFERROR(MAX('Evaluation'!G2:G351),0)</f>
      </c>
      <c r="D14" s="20">
        <f>IFERROR(INDEX('Evaluation'!A2:A351,MATCH(MIN('Evaluation'!G2:G351),'Evaluation'!G2:G351,0)),"")</f>
      </c>
      <c r="E14" s="20">
        <f>IFERROR(MIN('Evaluation'!G2:G351),0)</f>
      </c>
    </row>
    <row x14ac:dyDescent="0.25" r="15" customHeight="1" ht="18">
      <c r="A15" s="19" t="s">
        <v>2020</v>
      </c>
      <c r="B15" s="20">
        <f>IFERROR(INDEX('Evaluation'!A2:A351,MATCH(MAX('Evaluation'!H2:H351),'Evaluation'!H2:H351,0)),"")</f>
      </c>
      <c r="C15" s="20">
        <f>IFERROR(MAX('Evaluation'!H2:H351),0)</f>
      </c>
      <c r="D15" s="20">
        <f>IFERROR(INDEX('Evaluation'!A2:A351,MATCH(MIN('Evaluation'!H2:H351),'Evaluation'!H2:H351,0)),"")</f>
      </c>
      <c r="E15" s="20">
        <f>IFERROR(MIN('Evaluation'!H2:H351),0)</f>
      </c>
    </row>
    <row x14ac:dyDescent="0.25" r="16" customHeight="1" ht="17.25">
      <c r="A16" s="4"/>
      <c r="B16" s="4"/>
      <c r="C16" s="4"/>
      <c r="D16" s="4"/>
      <c r="E16" s="4"/>
    </row>
    <row x14ac:dyDescent="0.25" r="17" customHeight="1" ht="19.5">
      <c r="A17" s="17" t="s">
        <v>2029</v>
      </c>
      <c r="B17" s="4"/>
      <c r="C17" s="4"/>
      <c r="D17" s="4"/>
      <c r="E17" s="4"/>
    </row>
    <row x14ac:dyDescent="0.25" r="18" customHeight="1" ht="18">
      <c r="A18" s="18" t="s">
        <v>2014</v>
      </c>
      <c r="B18" s="18" t="s">
        <v>2030</v>
      </c>
      <c r="C18" s="18" t="s">
        <v>2031</v>
      </c>
      <c r="D18" s="4"/>
      <c r="E18" s="4"/>
    </row>
    <row x14ac:dyDescent="0.25" r="19" customHeight="1" ht="18">
      <c r="A19" s="19" t="s">
        <v>2019</v>
      </c>
      <c r="B19" s="20">
        <f>COUNTIF('Evaluation'!I2:I351,"?*")</f>
      </c>
      <c r="C19" s="20">
        <f>IFERROR(ROUND(COUNTIF('Evaluation'!I2:I351,"?*")/COUNTA('Evaluation'!A2:A351)*100,2),0)</f>
      </c>
      <c r="D19" s="4"/>
      <c r="E19" s="4"/>
    </row>
    <row x14ac:dyDescent="0.25" r="20" customHeight="1" ht="18">
      <c r="A20" s="19" t="s">
        <v>2020</v>
      </c>
      <c r="B20" s="20">
        <f>COUNTIF('Evaluation'!J2:J351,"?*")</f>
      </c>
      <c r="C20" s="20">
        <f>IFERROR(ROUND(COUNTIF('Evaluation'!J2:J351,"?*")/COUNTA('Evaluation'!A2:A351)*100,2),0)</f>
      </c>
      <c r="D20" s="4"/>
      <c r="E20" s="4"/>
    </row>
    <row x14ac:dyDescent="0.25" r="21" customHeight="1" ht="17.25">
      <c r="A21" s="4"/>
      <c r="B21" s="4"/>
      <c r="C21" s="4"/>
      <c r="D21" s="4"/>
      <c r="E21" s="4"/>
    </row>
    <row x14ac:dyDescent="0.25" r="22" customHeight="1" ht="17.25">
      <c r="A22" s="4"/>
      <c r="B22" s="4"/>
      <c r="C22" s="4"/>
      <c r="D22" s="4"/>
      <c r="E22" s="4"/>
    </row>
    <row x14ac:dyDescent="0.25" r="23" customHeight="1" ht="19.5">
      <c r="A23" s="17" t="s">
        <v>2032</v>
      </c>
      <c r="B23" s="4"/>
      <c r="C23" s="4"/>
      <c r="D23" s="4"/>
      <c r="E23" s="4"/>
    </row>
    <row x14ac:dyDescent="0.25" r="24" customHeight="1" ht="18">
      <c r="A24" s="14" t="s">
        <v>2033</v>
      </c>
      <c r="B24" s="4"/>
      <c r="C24" s="4"/>
      <c r="D24" s="4"/>
      <c r="E24" s="4"/>
    </row>
    <row x14ac:dyDescent="0.25" r="25" customHeight="1" ht="18">
      <c r="A25" s="14" t="s">
        <v>2034</v>
      </c>
      <c r="B25" s="4"/>
      <c r="C25" s="4"/>
      <c r="D25" s="4"/>
      <c r="E25" s="4"/>
    </row>
    <row x14ac:dyDescent="0.25" r="26" customHeight="1" ht="18">
      <c r="A26" s="14" t="s">
        <v>2035</v>
      </c>
      <c r="B26" s="4"/>
      <c r="C26" s="4"/>
      <c r="D26" s="4"/>
      <c r="E26" s="4"/>
    </row>
    <row x14ac:dyDescent="0.25" r="27" customHeight="1" ht="18">
      <c r="A27" s="14" t="s">
        <v>2036</v>
      </c>
      <c r="B27" s="4"/>
      <c r="C27" s="4"/>
      <c r="D27" s="4"/>
      <c r="E27" s="4"/>
    </row>
    <row x14ac:dyDescent="0.25" r="28" customHeight="1" ht="18">
      <c r="A28" s="14" t="s">
        <v>2037</v>
      </c>
      <c r="B28" s="4"/>
      <c r="C28" s="4"/>
      <c r="D28" s="4"/>
      <c r="E28" s="4"/>
    </row>
    <row x14ac:dyDescent="0.25" r="29" customHeight="1" ht="18">
      <c r="A29" s="14" t="s">
        <v>2038</v>
      </c>
      <c r="B29" s="4"/>
      <c r="C29" s="4"/>
      <c r="D29" s="4"/>
      <c r="E29" s="4"/>
    </row>
    <row x14ac:dyDescent="0.25" r="30" customHeight="1" ht="18">
      <c r="A30" s="14" t="s">
        <v>2039</v>
      </c>
      <c r="B30" s="4"/>
      <c r="C30" s="4"/>
      <c r="D30" s="4"/>
      <c r="E30" s="4"/>
    </row>
    <row x14ac:dyDescent="0.25" r="31" customHeight="1" ht="17.25">
      <c r="A31" s="14" t="s">
        <v>2040</v>
      </c>
      <c r="B31" s="4"/>
      <c r="C31" s="4"/>
      <c r="D31" s="4"/>
      <c r="E31" s="4"/>
    </row>
    <row x14ac:dyDescent="0.25" r="32" customHeight="1" ht="17.25">
      <c r="A32" s="14" t="s">
        <v>2041</v>
      </c>
      <c r="B32" s="4"/>
      <c r="C32" s="4"/>
      <c r="D32" s="4"/>
      <c r="E32" s="4"/>
    </row>
    <row x14ac:dyDescent="0.25" r="33" customHeight="1" ht="17.25">
      <c r="A33" s="14" t="s">
        <v>2042</v>
      </c>
      <c r="B33" s="4"/>
      <c r="C33" s="4"/>
      <c r="D33" s="4"/>
      <c r="E33" s="4"/>
    </row>
    <row x14ac:dyDescent="0.25" r="34" customHeight="1" ht="17.25">
      <c r="A34" s="14" t="s">
        <v>2043</v>
      </c>
      <c r="B34" s="4"/>
      <c r="C34" s="4"/>
      <c r="D34" s="4"/>
      <c r="E34" s="4"/>
    </row>
    <row x14ac:dyDescent="0.25" r="35" customHeight="1" ht="17.25">
      <c r="A35" s="14" t="s">
        <v>2044</v>
      </c>
      <c r="B35" s="4"/>
      <c r="C35" s="4"/>
      <c r="D35" s="4"/>
      <c r="E35" s="4"/>
    </row>
    <row x14ac:dyDescent="0.25" r="36" customHeight="1" ht="17.25">
      <c r="A36" s="14" t="s">
        <v>2045</v>
      </c>
      <c r="B36" s="4"/>
      <c r="C36" s="4"/>
      <c r="D36" s="4"/>
      <c r="E36" s="4"/>
    </row>
  </sheetData>
  <mergeCells count="19">
    <mergeCell ref="A1:E1"/>
    <mergeCell ref="A4:E4"/>
    <mergeCell ref="A9:E9"/>
    <mergeCell ref="A12:E12"/>
    <mergeCell ref="A17:E17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35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8" width="20.005" customWidth="1" bestFit="1"/>
    <col min="2" max="2" style="9" width="38.005" customWidth="1" bestFit="1"/>
    <col min="3" max="3" style="10" width="44.005" customWidth="1" bestFit="1"/>
    <col min="4" max="4" style="10" width="40.005" customWidth="1" bestFit="1"/>
    <col min="5" max="5" style="10" width="44.005" customWidth="1" bestFit="1"/>
    <col min="6" max="6" style="10" width="44.005" customWidth="1" bestFit="1"/>
    <col min="7" max="7" style="11" width="13.005" customWidth="1" bestFit="1"/>
    <col min="8" max="8" style="11" width="13.005" customWidth="1" bestFit="1"/>
    <col min="9" max="9" style="10" width="30.005" customWidth="1" bestFit="1"/>
    <col min="10" max="10" style="10" width="30.005" customWidth="1" bestFit="1"/>
    <col min="11" max="11" style="12" width="11.005" customWidth="1" bestFit="1"/>
    <col min="12" max="12" style="10" width="24.005" customWidth="1" bestFit="1"/>
    <col min="13" max="13" style="12" width="12.43357142857143" customWidth="1" bestFit="1" hidden="1"/>
    <col min="14" max="14" style="12" width="12.43357142857143" customWidth="1" bestFit="1" hidden="1"/>
    <col min="15" max="15" style="12" width="12.43357142857143" customWidth="1" bestFit="1" hidden="1"/>
    <col min="16" max="16" style="12" width="12.43357142857143" customWidth="1" bestFit="1" hidden="1"/>
  </cols>
  <sheetData>
    <row x14ac:dyDescent="0.25" r="1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x14ac:dyDescent="0.25" r="2" customHeight="1" ht="22">
      <c r="A2" s="4" t="s">
        <v>16</v>
      </c>
      <c r="B2" s="5" t="s">
        <v>17</v>
      </c>
      <c r="C2" s="6" t="s">
        <v>18</v>
      </c>
      <c r="D2" s="6" t="s">
        <v>19</v>
      </c>
      <c r="E2" s="6" t="s">
        <v>20</v>
      </c>
      <c r="F2" s="6"/>
      <c r="G2" s="7">
        <f>IFERROR(ROUND(M2/N2*100,2),0)</f>
      </c>
      <c r="H2" s="7">
        <f>IFERROR(ROUND(O2/P2*100,2),0)</f>
      </c>
      <c r="I2" s="6" t="s">
        <v>21</v>
      </c>
      <c r="J2" s="6"/>
      <c r="K2" s="7">
        <v>6.55</v>
      </c>
      <c r="L2" s="6" t="s">
        <v>22</v>
      </c>
      <c r="M2" s="7">
        <v>6</v>
      </c>
      <c r="N2" s="7">
        <v>7</v>
      </c>
      <c r="O2" s="7">
        <v>0</v>
      </c>
      <c r="P2" s="7">
        <v>0</v>
      </c>
    </row>
    <row x14ac:dyDescent="0.25" r="3" customHeight="1" ht="22">
      <c r="A3" s="4" t="s">
        <v>23</v>
      </c>
      <c r="B3" s="5" t="s">
        <v>24</v>
      </c>
      <c r="C3" s="6" t="s">
        <v>25</v>
      </c>
      <c r="D3" s="6" t="s">
        <v>26</v>
      </c>
      <c r="E3" s="6" t="s">
        <v>27</v>
      </c>
      <c r="F3" s="6"/>
      <c r="G3" s="7">
        <f>IFERROR(ROUND(M3/N3*100,2),0)</f>
      </c>
      <c r="H3" s="7">
        <f>IFERROR(ROUND(O3/P3*100,2),0)</f>
      </c>
      <c r="I3" s="6" t="s">
        <v>28</v>
      </c>
      <c r="J3" s="6"/>
      <c r="K3" s="7">
        <v>3.53</v>
      </c>
      <c r="L3" s="6" t="s">
        <v>22</v>
      </c>
      <c r="M3" s="7">
        <v>7</v>
      </c>
      <c r="N3" s="7">
        <v>8</v>
      </c>
      <c r="O3" s="7">
        <v>0</v>
      </c>
      <c r="P3" s="7">
        <v>0</v>
      </c>
    </row>
    <row x14ac:dyDescent="0.25" r="4" customHeight="1" ht="22">
      <c r="A4" s="4" t="s">
        <v>29</v>
      </c>
      <c r="B4" s="5" t="s">
        <v>30</v>
      </c>
      <c r="C4" s="6" t="s">
        <v>31</v>
      </c>
      <c r="D4" s="6" t="s">
        <v>32</v>
      </c>
      <c r="E4" s="6" t="s">
        <v>33</v>
      </c>
      <c r="F4" s="6"/>
      <c r="G4" s="7">
        <f>IFERROR(ROUND(M4/N4*100,2),0)</f>
      </c>
      <c r="H4" s="7">
        <f>IFERROR(ROUND(O4/P4*100,2),0)</f>
      </c>
      <c r="I4" s="6"/>
      <c r="J4" s="6"/>
      <c r="K4" s="7">
        <v>4.68</v>
      </c>
      <c r="L4" s="6" t="s">
        <v>22</v>
      </c>
      <c r="M4" s="7">
        <v>7</v>
      </c>
      <c r="N4" s="7">
        <v>7</v>
      </c>
      <c r="O4" s="7">
        <v>0</v>
      </c>
      <c r="P4" s="7">
        <v>0</v>
      </c>
    </row>
    <row x14ac:dyDescent="0.25" r="5" customHeight="1" ht="22">
      <c r="A5" s="4" t="s">
        <v>34</v>
      </c>
      <c r="B5" s="5" t="s">
        <v>35</v>
      </c>
      <c r="C5" s="6" t="s">
        <v>36</v>
      </c>
      <c r="D5" s="6" t="s">
        <v>37</v>
      </c>
      <c r="E5" s="6" t="s">
        <v>38</v>
      </c>
      <c r="F5" s="6"/>
      <c r="G5" s="7">
        <f>IFERROR(ROUND(M5/N5*100,2),0)</f>
      </c>
      <c r="H5" s="7">
        <f>IFERROR(ROUND(O5/P5*100,2),0)</f>
      </c>
      <c r="I5" s="6" t="s">
        <v>39</v>
      </c>
      <c r="J5" s="6"/>
      <c r="K5" s="7">
        <v>3.8</v>
      </c>
      <c r="L5" s="6" t="s">
        <v>22</v>
      </c>
      <c r="M5" s="7">
        <v>2</v>
      </c>
      <c r="N5" s="7">
        <v>8</v>
      </c>
      <c r="O5" s="7">
        <v>0</v>
      </c>
      <c r="P5" s="7">
        <v>0</v>
      </c>
    </row>
    <row x14ac:dyDescent="0.25" r="6" customHeight="1" ht="36">
      <c r="A6" s="4" t="s">
        <v>40</v>
      </c>
      <c r="B6" s="5" t="s">
        <v>41</v>
      </c>
      <c r="C6" s="6" t="s">
        <v>42</v>
      </c>
      <c r="D6" s="6" t="s">
        <v>43</v>
      </c>
      <c r="E6" s="6" t="s">
        <v>44</v>
      </c>
      <c r="F6" s="6"/>
      <c r="G6" s="7">
        <f>IFERROR(ROUND(M6/N6*100,2),0)</f>
      </c>
      <c r="H6" s="7">
        <f>IFERROR(ROUND(O6/P6*100,2),0)</f>
      </c>
      <c r="I6" s="6" t="s">
        <v>45</v>
      </c>
      <c r="J6" s="6"/>
      <c r="K6" s="7">
        <v>7.76</v>
      </c>
      <c r="L6" s="6" t="s">
        <v>22</v>
      </c>
      <c r="M6" s="7">
        <v>10</v>
      </c>
      <c r="N6" s="7">
        <v>11</v>
      </c>
      <c r="O6" s="7">
        <v>0</v>
      </c>
      <c r="P6" s="7">
        <v>0</v>
      </c>
    </row>
    <row x14ac:dyDescent="0.25" r="7" customHeight="1" ht="36">
      <c r="A7" s="4" t="s">
        <v>46</v>
      </c>
      <c r="B7" s="5" t="s">
        <v>47</v>
      </c>
      <c r="C7" s="6" t="s">
        <v>48</v>
      </c>
      <c r="D7" s="6" t="s">
        <v>49</v>
      </c>
      <c r="E7" s="6" t="s">
        <v>50</v>
      </c>
      <c r="F7" s="6"/>
      <c r="G7" s="7">
        <f>IFERROR(ROUND(M7/N7*100,2),0)</f>
      </c>
      <c r="H7" s="7">
        <f>IFERROR(ROUND(O7/P7*100,2),0)</f>
      </c>
      <c r="I7" s="6" t="s">
        <v>51</v>
      </c>
      <c r="J7" s="6"/>
      <c r="K7" s="7">
        <v>3.89</v>
      </c>
      <c r="L7" s="6" t="s">
        <v>22</v>
      </c>
      <c r="M7" s="7">
        <v>8</v>
      </c>
      <c r="N7" s="7">
        <v>12</v>
      </c>
      <c r="O7" s="7">
        <v>0</v>
      </c>
      <c r="P7" s="7">
        <v>0</v>
      </c>
    </row>
    <row x14ac:dyDescent="0.25" r="8" customHeight="1" ht="22">
      <c r="A8" s="4" t="s">
        <v>52</v>
      </c>
      <c r="B8" s="5" t="s">
        <v>53</v>
      </c>
      <c r="C8" s="6" t="s">
        <v>54</v>
      </c>
      <c r="D8" s="6" t="s">
        <v>55</v>
      </c>
      <c r="E8" s="6" t="s">
        <v>56</v>
      </c>
      <c r="F8" s="6"/>
      <c r="G8" s="7">
        <f>IFERROR(ROUND(M8/N8*100,2),0)</f>
      </c>
      <c r="H8" s="7">
        <f>IFERROR(ROUND(O8/P8*100,2),0)</f>
      </c>
      <c r="I8" s="6" t="s">
        <v>57</v>
      </c>
      <c r="J8" s="6"/>
      <c r="K8" s="7">
        <v>2.98</v>
      </c>
      <c r="L8" s="6" t="s">
        <v>22</v>
      </c>
      <c r="M8" s="7">
        <v>2</v>
      </c>
      <c r="N8" s="7">
        <v>3</v>
      </c>
      <c r="O8" s="7">
        <v>0</v>
      </c>
      <c r="P8" s="7">
        <v>0</v>
      </c>
    </row>
    <row x14ac:dyDescent="0.25" r="9" customHeight="1" ht="36">
      <c r="A9" s="4" t="s">
        <v>58</v>
      </c>
      <c r="B9" s="5" t="s">
        <v>59</v>
      </c>
      <c r="C9" s="6" t="s">
        <v>60</v>
      </c>
      <c r="D9" s="6" t="s">
        <v>61</v>
      </c>
      <c r="E9" s="6" t="s">
        <v>62</v>
      </c>
      <c r="F9" s="6"/>
      <c r="G9" s="7">
        <f>IFERROR(ROUND(M9/N9*100,2),0)</f>
      </c>
      <c r="H9" s="7">
        <f>IFERROR(ROUND(O9/P9*100,2),0)</f>
      </c>
      <c r="I9" s="6" t="s">
        <v>63</v>
      </c>
      <c r="J9" s="6"/>
      <c r="K9" s="7">
        <v>3.68</v>
      </c>
      <c r="L9" s="6" t="s">
        <v>22</v>
      </c>
      <c r="M9" s="7">
        <v>9</v>
      </c>
      <c r="N9" s="7">
        <v>12</v>
      </c>
      <c r="O9" s="7">
        <v>0</v>
      </c>
      <c r="P9" s="7">
        <v>0</v>
      </c>
    </row>
    <row x14ac:dyDescent="0.25" r="10" customHeight="1" ht="36">
      <c r="A10" s="4" t="s">
        <v>64</v>
      </c>
      <c r="B10" s="5" t="s">
        <v>65</v>
      </c>
      <c r="C10" s="6" t="s">
        <v>66</v>
      </c>
      <c r="D10" s="6" t="s">
        <v>67</v>
      </c>
      <c r="E10" s="6" t="s">
        <v>68</v>
      </c>
      <c r="F10" s="6"/>
      <c r="G10" s="7">
        <f>IFERROR(ROUND(M10/N10*100,2),0)</f>
      </c>
      <c r="H10" s="7">
        <f>IFERROR(ROUND(O10/P10*100,2),0)</f>
      </c>
      <c r="I10" s="6" t="s">
        <v>69</v>
      </c>
      <c r="J10" s="6"/>
      <c r="K10" s="7">
        <v>3.7</v>
      </c>
      <c r="L10" s="6" t="s">
        <v>22</v>
      </c>
      <c r="M10" s="7">
        <v>8</v>
      </c>
      <c r="N10" s="7">
        <v>10</v>
      </c>
      <c r="O10" s="7">
        <v>0</v>
      </c>
      <c r="P10" s="7">
        <v>0</v>
      </c>
    </row>
    <row x14ac:dyDescent="0.25" r="11" customHeight="1" ht="22">
      <c r="A11" s="4" t="s">
        <v>70</v>
      </c>
      <c r="B11" s="5" t="s">
        <v>71</v>
      </c>
      <c r="C11" s="6" t="s">
        <v>72</v>
      </c>
      <c r="D11" s="6" t="s">
        <v>73</v>
      </c>
      <c r="E11" s="6" t="s">
        <v>74</v>
      </c>
      <c r="F11" s="6"/>
      <c r="G11" s="7">
        <f>IFERROR(ROUND(M11/N11*100,2),0)</f>
      </c>
      <c r="H11" s="7">
        <f>IFERROR(ROUND(O11/P11*100,2),0)</f>
      </c>
      <c r="I11" s="6" t="s">
        <v>75</v>
      </c>
      <c r="J11" s="6"/>
      <c r="K11" s="7">
        <v>3.44</v>
      </c>
      <c r="L11" s="6" t="s">
        <v>22</v>
      </c>
      <c r="M11" s="7">
        <v>6</v>
      </c>
      <c r="N11" s="7">
        <v>7</v>
      </c>
      <c r="O11" s="7">
        <v>0</v>
      </c>
      <c r="P11" s="7">
        <v>0</v>
      </c>
    </row>
    <row x14ac:dyDescent="0.25" r="12" customHeight="1" ht="22">
      <c r="A12" s="4" t="s">
        <v>76</v>
      </c>
      <c r="B12" s="5" t="s">
        <v>77</v>
      </c>
      <c r="C12" s="6" t="s">
        <v>78</v>
      </c>
      <c r="D12" s="6" t="s">
        <v>79</v>
      </c>
      <c r="E12" s="6" t="s">
        <v>80</v>
      </c>
      <c r="F12" s="6"/>
      <c r="G12" s="7">
        <f>IFERROR(ROUND(M12/N12*100,2),0)</f>
      </c>
      <c r="H12" s="7">
        <f>IFERROR(ROUND(O12/P12*100,2),0)</f>
      </c>
      <c r="I12" s="6" t="s">
        <v>81</v>
      </c>
      <c r="J12" s="6"/>
      <c r="K12" s="7">
        <v>6.79</v>
      </c>
      <c r="L12" s="6" t="s">
        <v>22</v>
      </c>
      <c r="M12" s="7">
        <v>5</v>
      </c>
      <c r="N12" s="7">
        <v>6</v>
      </c>
      <c r="O12" s="7">
        <v>0</v>
      </c>
      <c r="P12" s="7">
        <v>0</v>
      </c>
    </row>
    <row x14ac:dyDescent="0.25" r="13" customHeight="1" ht="36">
      <c r="A13" s="4" t="s">
        <v>82</v>
      </c>
      <c r="B13" s="5" t="s">
        <v>83</v>
      </c>
      <c r="C13" s="6" t="s">
        <v>84</v>
      </c>
      <c r="D13" s="6" t="s">
        <v>85</v>
      </c>
      <c r="E13" s="6" t="s">
        <v>86</v>
      </c>
      <c r="F13" s="6"/>
      <c r="G13" s="7">
        <f>IFERROR(ROUND(M13/N13*100,2),0)</f>
      </c>
      <c r="H13" s="7">
        <f>IFERROR(ROUND(O13/P13*100,2),0)</f>
      </c>
      <c r="I13" s="6" t="s">
        <v>87</v>
      </c>
      <c r="J13" s="6"/>
      <c r="K13" s="7">
        <v>3.75</v>
      </c>
      <c r="L13" s="6" t="s">
        <v>22</v>
      </c>
      <c r="M13" s="7">
        <v>6</v>
      </c>
      <c r="N13" s="7">
        <v>11</v>
      </c>
      <c r="O13" s="7">
        <v>0</v>
      </c>
      <c r="P13" s="7">
        <v>0</v>
      </c>
    </row>
    <row x14ac:dyDescent="0.25" r="14" customHeight="1" ht="22">
      <c r="A14" s="4" t="s">
        <v>88</v>
      </c>
      <c r="B14" s="5" t="s">
        <v>89</v>
      </c>
      <c r="C14" s="6" t="s">
        <v>90</v>
      </c>
      <c r="D14" s="6" t="s">
        <v>91</v>
      </c>
      <c r="E14" s="6" t="s">
        <v>92</v>
      </c>
      <c r="F14" s="6"/>
      <c r="G14" s="7">
        <f>IFERROR(ROUND(M14/N14*100,2),0)</f>
      </c>
      <c r="H14" s="7">
        <f>IFERROR(ROUND(O14/P14*100,2),0)</f>
      </c>
      <c r="I14" s="6"/>
      <c r="J14" s="6"/>
      <c r="K14" s="7">
        <v>3.28</v>
      </c>
      <c r="L14" s="6" t="s">
        <v>22</v>
      </c>
      <c r="M14" s="7">
        <v>7</v>
      </c>
      <c r="N14" s="7">
        <v>7</v>
      </c>
      <c r="O14" s="7">
        <v>0</v>
      </c>
      <c r="P14" s="7">
        <v>0</v>
      </c>
    </row>
    <row x14ac:dyDescent="0.25" r="15" customHeight="1" ht="36">
      <c r="A15" s="4" t="s">
        <v>93</v>
      </c>
      <c r="B15" s="5" t="s">
        <v>94</v>
      </c>
      <c r="C15" s="6" t="s">
        <v>95</v>
      </c>
      <c r="D15" s="6" t="s">
        <v>96</v>
      </c>
      <c r="E15" s="6" t="s">
        <v>97</v>
      </c>
      <c r="F15" s="6"/>
      <c r="G15" s="7">
        <f>IFERROR(ROUND(M15/N15*100,2),0)</f>
      </c>
      <c r="H15" s="7">
        <f>IFERROR(ROUND(O15/P15*100,2),0)</f>
      </c>
      <c r="I15" s="6" t="s">
        <v>98</v>
      </c>
      <c r="J15" s="6"/>
      <c r="K15" s="7">
        <v>3.81</v>
      </c>
      <c r="L15" s="6" t="s">
        <v>22</v>
      </c>
      <c r="M15" s="7">
        <v>9</v>
      </c>
      <c r="N15" s="7">
        <v>11</v>
      </c>
      <c r="O15" s="7">
        <v>0</v>
      </c>
      <c r="P15" s="7">
        <v>0</v>
      </c>
    </row>
    <row x14ac:dyDescent="0.25" r="16" customHeight="1" ht="22">
      <c r="A16" s="4" t="s">
        <v>99</v>
      </c>
      <c r="B16" s="5" t="s">
        <v>100</v>
      </c>
      <c r="C16" s="6" t="s">
        <v>101</v>
      </c>
      <c r="D16" s="6" t="s">
        <v>102</v>
      </c>
      <c r="E16" s="6" t="s">
        <v>103</v>
      </c>
      <c r="F16" s="6"/>
      <c r="G16" s="7">
        <f>IFERROR(ROUND(M16/N16*100,2),0)</f>
      </c>
      <c r="H16" s="7">
        <f>IFERROR(ROUND(O16/P16*100,2),0)</f>
      </c>
      <c r="I16" s="6" t="s">
        <v>104</v>
      </c>
      <c r="J16" s="6"/>
      <c r="K16" s="7">
        <v>3.23</v>
      </c>
      <c r="L16" s="6" t="s">
        <v>22</v>
      </c>
      <c r="M16" s="7">
        <v>5</v>
      </c>
      <c r="N16" s="7">
        <v>6</v>
      </c>
      <c r="O16" s="7">
        <v>0</v>
      </c>
      <c r="P16" s="7">
        <v>0</v>
      </c>
    </row>
    <row x14ac:dyDescent="0.25" r="17" customHeight="1" ht="36">
      <c r="A17" s="4" t="s">
        <v>105</v>
      </c>
      <c r="B17" s="5" t="s">
        <v>106</v>
      </c>
      <c r="C17" s="6" t="s">
        <v>107</v>
      </c>
      <c r="D17" s="6" t="s">
        <v>108</v>
      </c>
      <c r="E17" s="6" t="s">
        <v>109</v>
      </c>
      <c r="F17" s="6"/>
      <c r="G17" s="7">
        <f>IFERROR(ROUND(M17/N17*100,2),0)</f>
      </c>
      <c r="H17" s="7">
        <f>IFERROR(ROUND(O17/P17*100,2),0)</f>
      </c>
      <c r="I17" s="6" t="s">
        <v>110</v>
      </c>
      <c r="J17" s="6"/>
      <c r="K17" s="7">
        <v>4.09</v>
      </c>
      <c r="L17" s="6" t="s">
        <v>22</v>
      </c>
      <c r="M17" s="7">
        <v>10</v>
      </c>
      <c r="N17" s="7">
        <v>13</v>
      </c>
      <c r="O17" s="7">
        <v>0</v>
      </c>
      <c r="P17" s="7">
        <v>0</v>
      </c>
    </row>
    <row x14ac:dyDescent="0.25" r="18" customHeight="1" ht="22">
      <c r="A18" s="4" t="s">
        <v>111</v>
      </c>
      <c r="B18" s="5" t="s">
        <v>112</v>
      </c>
      <c r="C18" s="6" t="s">
        <v>113</v>
      </c>
      <c r="D18" s="6" t="s">
        <v>114</v>
      </c>
      <c r="E18" s="6" t="s">
        <v>115</v>
      </c>
      <c r="F18" s="6"/>
      <c r="G18" s="7">
        <f>IFERROR(ROUND(M18/N18*100,2),0)</f>
      </c>
      <c r="H18" s="7">
        <f>IFERROR(ROUND(O18/P18*100,2),0)</f>
      </c>
      <c r="I18" s="6"/>
      <c r="J18" s="6"/>
      <c r="K18" s="7">
        <v>5.36</v>
      </c>
      <c r="L18" s="6" t="s">
        <v>22</v>
      </c>
      <c r="M18" s="7">
        <v>3</v>
      </c>
      <c r="N18" s="7">
        <v>3</v>
      </c>
      <c r="O18" s="7">
        <v>0</v>
      </c>
      <c r="P18" s="7">
        <v>0</v>
      </c>
    </row>
    <row x14ac:dyDescent="0.25" r="19" customHeight="1" ht="36">
      <c r="A19" s="4" t="s">
        <v>116</v>
      </c>
      <c r="B19" s="5" t="s">
        <v>117</v>
      </c>
      <c r="C19" s="6" t="s">
        <v>118</v>
      </c>
      <c r="D19" s="6" t="s">
        <v>119</v>
      </c>
      <c r="E19" s="6" t="s">
        <v>120</v>
      </c>
      <c r="F19" s="6"/>
      <c r="G19" s="7">
        <f>IFERROR(ROUND(M19/N19*100,2),0)</f>
      </c>
      <c r="H19" s="7">
        <f>IFERROR(ROUND(O19/P19*100,2),0)</f>
      </c>
      <c r="I19" s="6" t="s">
        <v>121</v>
      </c>
      <c r="J19" s="6"/>
      <c r="K19" s="7">
        <v>5.11</v>
      </c>
      <c r="L19" s="6" t="s">
        <v>22</v>
      </c>
      <c r="M19" s="7">
        <v>6</v>
      </c>
      <c r="N19" s="7">
        <v>9</v>
      </c>
      <c r="O19" s="7">
        <v>0</v>
      </c>
      <c r="P19" s="7">
        <v>0</v>
      </c>
    </row>
    <row x14ac:dyDescent="0.25" r="20" customHeight="1" ht="36">
      <c r="A20" s="4" t="s">
        <v>122</v>
      </c>
      <c r="B20" s="5" t="s">
        <v>123</v>
      </c>
      <c r="C20" s="6" t="s">
        <v>124</v>
      </c>
      <c r="D20" s="6" t="s">
        <v>125</v>
      </c>
      <c r="E20" s="6" t="s">
        <v>126</v>
      </c>
      <c r="F20" s="6"/>
      <c r="G20" s="7">
        <f>IFERROR(ROUND(M20/N20*100,2),0)</f>
      </c>
      <c r="H20" s="7">
        <f>IFERROR(ROUND(O20/P20*100,2),0)</f>
      </c>
      <c r="I20" s="6" t="s">
        <v>127</v>
      </c>
      <c r="J20" s="6"/>
      <c r="K20" s="7">
        <v>4.1</v>
      </c>
      <c r="L20" s="6" t="s">
        <v>22</v>
      </c>
      <c r="M20" s="7">
        <v>7</v>
      </c>
      <c r="N20" s="7">
        <v>12</v>
      </c>
      <c r="O20" s="7">
        <v>0</v>
      </c>
      <c r="P20" s="7">
        <v>0</v>
      </c>
    </row>
    <row x14ac:dyDescent="0.25" r="21" customHeight="1" ht="36">
      <c r="A21" s="4" t="s">
        <v>128</v>
      </c>
      <c r="B21" s="5" t="s">
        <v>129</v>
      </c>
      <c r="C21" s="6" t="s">
        <v>130</v>
      </c>
      <c r="D21" s="6" t="s">
        <v>131</v>
      </c>
      <c r="E21" s="6" t="s">
        <v>132</v>
      </c>
      <c r="F21" s="6"/>
      <c r="G21" s="7">
        <f>IFERROR(ROUND(M21/N21*100,2),0)</f>
      </c>
      <c r="H21" s="7">
        <f>IFERROR(ROUND(O21/P21*100,2),0)</f>
      </c>
      <c r="I21" s="6" t="s">
        <v>133</v>
      </c>
      <c r="J21" s="6"/>
      <c r="K21" s="7">
        <v>3.4</v>
      </c>
      <c r="L21" s="6" t="s">
        <v>22</v>
      </c>
      <c r="M21" s="7">
        <v>8</v>
      </c>
      <c r="N21" s="7">
        <v>12</v>
      </c>
      <c r="O21" s="7">
        <v>0</v>
      </c>
      <c r="P21" s="7">
        <v>0</v>
      </c>
    </row>
    <row x14ac:dyDescent="0.25" r="22" customHeight="1" ht="36">
      <c r="A22" s="4" t="s">
        <v>134</v>
      </c>
      <c r="B22" s="5" t="s">
        <v>135</v>
      </c>
      <c r="C22" s="6" t="s">
        <v>136</v>
      </c>
      <c r="D22" s="6" t="s">
        <v>137</v>
      </c>
      <c r="E22" s="6" t="s">
        <v>138</v>
      </c>
      <c r="F22" s="6"/>
      <c r="G22" s="7">
        <f>IFERROR(ROUND(M22/N22*100,2),0)</f>
      </c>
      <c r="H22" s="7">
        <f>IFERROR(ROUND(O22/P22*100,2),0)</f>
      </c>
      <c r="I22" s="6" t="s">
        <v>139</v>
      </c>
      <c r="J22" s="6"/>
      <c r="K22" s="7">
        <v>3.38</v>
      </c>
      <c r="L22" s="6" t="s">
        <v>22</v>
      </c>
      <c r="M22" s="7">
        <v>9</v>
      </c>
      <c r="N22" s="7">
        <v>12</v>
      </c>
      <c r="O22" s="7">
        <v>0</v>
      </c>
      <c r="P22" s="7">
        <v>0</v>
      </c>
    </row>
    <row x14ac:dyDescent="0.25" r="23" customHeight="1" ht="22">
      <c r="A23" s="4" t="s">
        <v>140</v>
      </c>
      <c r="B23" s="5" t="s">
        <v>141</v>
      </c>
      <c r="C23" s="6" t="s">
        <v>142</v>
      </c>
      <c r="D23" s="6" t="s">
        <v>143</v>
      </c>
      <c r="E23" s="6" t="s">
        <v>144</v>
      </c>
      <c r="F23" s="6"/>
      <c r="G23" s="7">
        <f>IFERROR(ROUND(M23/N23*100,2),0)</f>
      </c>
      <c r="H23" s="7">
        <f>IFERROR(ROUND(O23/P23*100,2),0)</f>
      </c>
      <c r="I23" s="6" t="s">
        <v>145</v>
      </c>
      <c r="J23" s="6"/>
      <c r="K23" s="7">
        <v>3.31</v>
      </c>
      <c r="L23" s="6" t="s">
        <v>22</v>
      </c>
      <c r="M23" s="7">
        <v>7</v>
      </c>
      <c r="N23" s="7">
        <v>9</v>
      </c>
      <c r="O23" s="7">
        <v>0</v>
      </c>
      <c r="P23" s="7">
        <v>0</v>
      </c>
    </row>
    <row x14ac:dyDescent="0.25" r="24" customHeight="1" ht="36">
      <c r="A24" s="4" t="s">
        <v>146</v>
      </c>
      <c r="B24" s="5" t="s">
        <v>147</v>
      </c>
      <c r="C24" s="6" t="s">
        <v>148</v>
      </c>
      <c r="D24" s="6" t="s">
        <v>149</v>
      </c>
      <c r="E24" s="6" t="s">
        <v>150</v>
      </c>
      <c r="F24" s="6"/>
      <c r="G24" s="7">
        <f>IFERROR(ROUND(M24/N24*100,2),0)</f>
      </c>
      <c r="H24" s="7">
        <f>IFERROR(ROUND(O24/P24*100,2),0)</f>
      </c>
      <c r="I24" s="6" t="s">
        <v>151</v>
      </c>
      <c r="J24" s="6"/>
      <c r="K24" s="7">
        <v>3.51</v>
      </c>
      <c r="L24" s="6" t="s">
        <v>22</v>
      </c>
      <c r="M24" s="7">
        <v>9</v>
      </c>
      <c r="N24" s="7">
        <v>12</v>
      </c>
      <c r="O24" s="7">
        <v>0</v>
      </c>
      <c r="P24" s="7">
        <v>0</v>
      </c>
    </row>
    <row x14ac:dyDescent="0.25" r="25" customHeight="1" ht="22">
      <c r="A25" s="4" t="s">
        <v>152</v>
      </c>
      <c r="B25" s="5" t="s">
        <v>153</v>
      </c>
      <c r="C25" s="6" t="s">
        <v>154</v>
      </c>
      <c r="D25" s="6" t="s">
        <v>155</v>
      </c>
      <c r="E25" s="6" t="s">
        <v>156</v>
      </c>
      <c r="F25" s="6"/>
      <c r="G25" s="7">
        <f>IFERROR(ROUND(M25/N25*100,2),0)</f>
      </c>
      <c r="H25" s="7">
        <f>IFERROR(ROUND(O25/P25*100,2),0)</f>
      </c>
      <c r="I25" s="6"/>
      <c r="J25" s="6"/>
      <c r="K25" s="7">
        <v>3.17</v>
      </c>
      <c r="L25" s="6" t="s">
        <v>22</v>
      </c>
      <c r="M25" s="7">
        <v>7</v>
      </c>
      <c r="N25" s="7">
        <v>7</v>
      </c>
      <c r="O25" s="7">
        <v>0</v>
      </c>
      <c r="P25" s="7">
        <v>0</v>
      </c>
    </row>
    <row x14ac:dyDescent="0.25" r="26" customHeight="1" ht="22">
      <c r="A26" s="4" t="s">
        <v>157</v>
      </c>
      <c r="B26" s="5" t="s">
        <v>158</v>
      </c>
      <c r="C26" s="6" t="s">
        <v>159</v>
      </c>
      <c r="D26" s="6" t="s">
        <v>160</v>
      </c>
      <c r="E26" s="6" t="s">
        <v>160</v>
      </c>
      <c r="F26" s="6"/>
      <c r="G26" s="7">
        <f>IFERROR(ROUND(M26/N26*100,2),0)</f>
      </c>
      <c r="H26" s="7">
        <f>IFERROR(ROUND(O26/P26*100,2),0)</f>
      </c>
      <c r="I26" s="6" t="s">
        <v>161</v>
      </c>
      <c r="J26" s="6"/>
      <c r="K26" s="7">
        <v>2.94</v>
      </c>
      <c r="L26" s="6" t="s">
        <v>22</v>
      </c>
      <c r="M26" s="7">
        <v>0</v>
      </c>
      <c r="N26" s="7">
        <v>3</v>
      </c>
      <c r="O26" s="7">
        <v>0</v>
      </c>
      <c r="P26" s="7">
        <v>0</v>
      </c>
    </row>
    <row x14ac:dyDescent="0.25" r="27" customHeight="1" ht="22">
      <c r="A27" s="4" t="s">
        <v>162</v>
      </c>
      <c r="B27" s="5" t="s">
        <v>163</v>
      </c>
      <c r="C27" s="6" t="s">
        <v>164</v>
      </c>
      <c r="D27" s="6" t="s">
        <v>165</v>
      </c>
      <c r="E27" s="6" t="s">
        <v>166</v>
      </c>
      <c r="F27" s="6"/>
      <c r="G27" s="7">
        <f>IFERROR(ROUND(M27/N27*100,2),0)</f>
      </c>
      <c r="H27" s="7">
        <f>IFERROR(ROUND(O27/P27*100,2),0)</f>
      </c>
      <c r="I27" s="6" t="s">
        <v>167</v>
      </c>
      <c r="J27" s="6"/>
      <c r="K27" s="7">
        <v>2.8</v>
      </c>
      <c r="L27" s="6" t="s">
        <v>22</v>
      </c>
      <c r="M27" s="7">
        <v>4</v>
      </c>
      <c r="N27" s="7">
        <v>5</v>
      </c>
      <c r="O27" s="7">
        <v>0</v>
      </c>
      <c r="P27" s="7">
        <v>0</v>
      </c>
    </row>
    <row x14ac:dyDescent="0.25" r="28" customHeight="1" ht="22">
      <c r="A28" s="4" t="s">
        <v>168</v>
      </c>
      <c r="B28" s="5" t="s">
        <v>169</v>
      </c>
      <c r="C28" s="6" t="s">
        <v>170</v>
      </c>
      <c r="D28" s="6" t="s">
        <v>171</v>
      </c>
      <c r="E28" s="6" t="s">
        <v>172</v>
      </c>
      <c r="F28" s="6"/>
      <c r="G28" s="7">
        <f>IFERROR(ROUND(M28/N28*100,2),0)</f>
      </c>
      <c r="H28" s="7">
        <f>IFERROR(ROUND(O28/P28*100,2),0)</f>
      </c>
      <c r="I28" s="6" t="s">
        <v>173</v>
      </c>
      <c r="J28" s="6"/>
      <c r="K28" s="7">
        <v>3.16</v>
      </c>
      <c r="L28" s="6" t="s">
        <v>22</v>
      </c>
      <c r="M28" s="7">
        <v>4</v>
      </c>
      <c r="N28" s="7">
        <v>5</v>
      </c>
      <c r="O28" s="7">
        <v>0</v>
      </c>
      <c r="P28" s="7">
        <v>0</v>
      </c>
    </row>
    <row x14ac:dyDescent="0.25" r="29" customHeight="1" ht="22">
      <c r="A29" s="4" t="s">
        <v>174</v>
      </c>
      <c r="B29" s="5" t="s">
        <v>175</v>
      </c>
      <c r="C29" s="6" t="s">
        <v>176</v>
      </c>
      <c r="D29" s="6" t="s">
        <v>177</v>
      </c>
      <c r="E29" s="6" t="s">
        <v>178</v>
      </c>
      <c r="F29" s="6"/>
      <c r="G29" s="7">
        <f>IFERROR(ROUND(M29/N29*100,2),0)</f>
      </c>
      <c r="H29" s="7">
        <f>IFERROR(ROUND(O29/P29*100,2),0)</f>
      </c>
      <c r="I29" s="6"/>
      <c r="J29" s="6"/>
      <c r="K29" s="7">
        <v>4.03</v>
      </c>
      <c r="L29" s="6" t="s">
        <v>22</v>
      </c>
      <c r="M29" s="7">
        <v>6</v>
      </c>
      <c r="N29" s="7">
        <v>6</v>
      </c>
      <c r="O29" s="7">
        <v>0</v>
      </c>
      <c r="P29" s="7">
        <v>0</v>
      </c>
    </row>
    <row x14ac:dyDescent="0.25" r="30" customHeight="1" ht="36">
      <c r="A30" s="4" t="s">
        <v>179</v>
      </c>
      <c r="B30" s="5" t="s">
        <v>180</v>
      </c>
      <c r="C30" s="6" t="s">
        <v>181</v>
      </c>
      <c r="D30" s="6" t="s">
        <v>182</v>
      </c>
      <c r="E30" s="6" t="s">
        <v>183</v>
      </c>
      <c r="F30" s="6"/>
      <c r="G30" s="7">
        <f>IFERROR(ROUND(M30/N30*100,2),0)</f>
      </c>
      <c r="H30" s="7">
        <f>IFERROR(ROUND(O30/P30*100,2),0)</f>
      </c>
      <c r="I30" s="6" t="s">
        <v>184</v>
      </c>
      <c r="J30" s="6"/>
      <c r="K30" s="7">
        <v>4.19</v>
      </c>
      <c r="L30" s="6" t="s">
        <v>22</v>
      </c>
      <c r="M30" s="7">
        <v>9</v>
      </c>
      <c r="N30" s="7">
        <v>12</v>
      </c>
      <c r="O30" s="7">
        <v>0</v>
      </c>
      <c r="P30" s="7">
        <v>0</v>
      </c>
    </row>
    <row x14ac:dyDescent="0.25" r="31" customHeight="1" ht="22">
      <c r="A31" s="4" t="s">
        <v>185</v>
      </c>
      <c r="B31" s="5" t="s">
        <v>186</v>
      </c>
      <c r="C31" s="6" t="s">
        <v>187</v>
      </c>
      <c r="D31" s="6" t="s">
        <v>188</v>
      </c>
      <c r="E31" s="6" t="s">
        <v>189</v>
      </c>
      <c r="F31" s="6"/>
      <c r="G31" s="7">
        <f>IFERROR(ROUND(M31/N31*100,2),0)</f>
      </c>
      <c r="H31" s="7">
        <f>IFERROR(ROUND(O31/P31*100,2),0)</f>
      </c>
      <c r="I31" s="6" t="s">
        <v>190</v>
      </c>
      <c r="J31" s="6"/>
      <c r="K31" s="7">
        <v>3.32</v>
      </c>
      <c r="L31" s="6" t="s">
        <v>22</v>
      </c>
      <c r="M31" s="7">
        <v>6</v>
      </c>
      <c r="N31" s="7">
        <v>8</v>
      </c>
      <c r="O31" s="7">
        <v>0</v>
      </c>
      <c r="P31" s="7">
        <v>0</v>
      </c>
    </row>
    <row x14ac:dyDescent="0.25" r="32" customHeight="1" ht="22">
      <c r="A32" s="4" t="s">
        <v>191</v>
      </c>
      <c r="B32" s="5" t="s">
        <v>192</v>
      </c>
      <c r="C32" s="6" t="s">
        <v>193</v>
      </c>
      <c r="D32" s="6" t="s">
        <v>194</v>
      </c>
      <c r="E32" s="6" t="s">
        <v>195</v>
      </c>
      <c r="F32" s="6"/>
      <c r="G32" s="7">
        <f>IFERROR(ROUND(M32/N32*100,2),0)</f>
      </c>
      <c r="H32" s="7">
        <f>IFERROR(ROUND(O32/P32*100,2),0)</f>
      </c>
      <c r="I32" s="6"/>
      <c r="J32" s="6"/>
      <c r="K32" s="7">
        <v>2.96</v>
      </c>
      <c r="L32" s="6" t="s">
        <v>22</v>
      </c>
      <c r="M32" s="7">
        <v>5</v>
      </c>
      <c r="N32" s="7">
        <v>5</v>
      </c>
      <c r="O32" s="7">
        <v>0</v>
      </c>
      <c r="P32" s="7">
        <v>0</v>
      </c>
    </row>
    <row x14ac:dyDescent="0.25" r="33" customHeight="1" ht="22">
      <c r="A33" s="4" t="s">
        <v>196</v>
      </c>
      <c r="B33" s="5" t="s">
        <v>197</v>
      </c>
      <c r="C33" s="6" t="s">
        <v>198</v>
      </c>
      <c r="D33" s="6" t="s">
        <v>199</v>
      </c>
      <c r="E33" s="6" t="s">
        <v>200</v>
      </c>
      <c r="F33" s="6"/>
      <c r="G33" s="7">
        <f>IFERROR(ROUND(M33/N33*100,2),0)</f>
      </c>
      <c r="H33" s="7">
        <f>IFERROR(ROUND(O33/P33*100,2),0)</f>
      </c>
      <c r="I33" s="6" t="s">
        <v>201</v>
      </c>
      <c r="J33" s="6"/>
      <c r="K33" s="7">
        <v>4.17</v>
      </c>
      <c r="L33" s="6" t="s">
        <v>22</v>
      </c>
      <c r="M33" s="7">
        <v>7</v>
      </c>
      <c r="N33" s="7">
        <v>9</v>
      </c>
      <c r="O33" s="7">
        <v>0</v>
      </c>
      <c r="P33" s="7">
        <v>0</v>
      </c>
    </row>
    <row x14ac:dyDescent="0.25" r="34" customHeight="1" ht="22">
      <c r="A34" s="4" t="s">
        <v>202</v>
      </c>
      <c r="B34" s="5" t="s">
        <v>203</v>
      </c>
      <c r="C34" s="6" t="s">
        <v>204</v>
      </c>
      <c r="D34" s="6" t="s">
        <v>205</v>
      </c>
      <c r="E34" s="6" t="s">
        <v>206</v>
      </c>
      <c r="F34" s="6"/>
      <c r="G34" s="7">
        <f>IFERROR(ROUND(M34/N34*100,2),0)</f>
      </c>
      <c r="H34" s="7">
        <f>IFERROR(ROUND(O34/P34*100,2),0)</f>
      </c>
      <c r="I34" s="6" t="s">
        <v>207</v>
      </c>
      <c r="J34" s="6"/>
      <c r="K34" s="7">
        <v>2.7</v>
      </c>
      <c r="L34" s="6" t="s">
        <v>22</v>
      </c>
      <c r="M34" s="7">
        <v>1</v>
      </c>
      <c r="N34" s="7">
        <v>3</v>
      </c>
      <c r="O34" s="7">
        <v>0</v>
      </c>
      <c r="P34" s="7">
        <v>0</v>
      </c>
    </row>
    <row x14ac:dyDescent="0.25" r="35" customHeight="1" ht="22">
      <c r="A35" s="4" t="s">
        <v>208</v>
      </c>
      <c r="B35" s="5" t="s">
        <v>209</v>
      </c>
      <c r="C35" s="6" t="s">
        <v>210</v>
      </c>
      <c r="D35" s="6" t="s">
        <v>211</v>
      </c>
      <c r="E35" s="6" t="s">
        <v>210</v>
      </c>
      <c r="F35" s="6"/>
      <c r="G35" s="7">
        <f>IFERROR(ROUND(M35/N35*100,2),0)</f>
      </c>
      <c r="H35" s="7">
        <f>IFERROR(ROUND(O35/P35*100,2),0)</f>
      </c>
      <c r="I35" s="6"/>
      <c r="J35" s="6"/>
      <c r="K35" s="7">
        <v>2.66</v>
      </c>
      <c r="L35" s="6" t="s">
        <v>22</v>
      </c>
      <c r="M35" s="7">
        <v>3</v>
      </c>
      <c r="N35" s="7">
        <v>3</v>
      </c>
      <c r="O35" s="7">
        <v>0</v>
      </c>
      <c r="P35" s="7">
        <v>0</v>
      </c>
    </row>
    <row x14ac:dyDescent="0.25" r="36" customHeight="1" ht="36">
      <c r="A36" s="4" t="s">
        <v>212</v>
      </c>
      <c r="B36" s="5" t="s">
        <v>213</v>
      </c>
      <c r="C36" s="6" t="s">
        <v>214</v>
      </c>
      <c r="D36" s="6" t="s">
        <v>215</v>
      </c>
      <c r="E36" s="6" t="s">
        <v>216</v>
      </c>
      <c r="F36" s="6"/>
      <c r="G36" s="7">
        <f>IFERROR(ROUND(M36/N36*100,2),0)</f>
      </c>
      <c r="H36" s="7">
        <f>IFERROR(ROUND(O36/P36*100,2),0)</f>
      </c>
      <c r="I36" s="6" t="s">
        <v>217</v>
      </c>
      <c r="J36" s="6"/>
      <c r="K36" s="7">
        <v>4.98</v>
      </c>
      <c r="L36" s="6" t="s">
        <v>22</v>
      </c>
      <c r="M36" s="7">
        <v>8</v>
      </c>
      <c r="N36" s="7">
        <v>11</v>
      </c>
      <c r="O36" s="7">
        <v>0</v>
      </c>
      <c r="P36" s="7">
        <v>0</v>
      </c>
    </row>
    <row x14ac:dyDescent="0.25" r="37" customHeight="1" ht="22">
      <c r="A37" s="4" t="s">
        <v>218</v>
      </c>
      <c r="B37" s="5" t="s">
        <v>219</v>
      </c>
      <c r="C37" s="6" t="s">
        <v>220</v>
      </c>
      <c r="D37" s="6" t="s">
        <v>221</v>
      </c>
      <c r="E37" s="6" t="s">
        <v>222</v>
      </c>
      <c r="F37" s="6"/>
      <c r="G37" s="7">
        <f>IFERROR(ROUND(M37/N37*100,2),0)</f>
      </c>
      <c r="H37" s="7">
        <f>IFERROR(ROUND(O37/P37*100,2),0)</f>
      </c>
      <c r="I37" s="6" t="s">
        <v>223</v>
      </c>
      <c r="J37" s="6"/>
      <c r="K37" s="7">
        <v>3.37</v>
      </c>
      <c r="L37" s="6" t="s">
        <v>22</v>
      </c>
      <c r="M37" s="7">
        <v>5</v>
      </c>
      <c r="N37" s="7">
        <v>6</v>
      </c>
      <c r="O37" s="7">
        <v>0</v>
      </c>
      <c r="P37" s="7">
        <v>0</v>
      </c>
    </row>
    <row x14ac:dyDescent="0.25" r="38" customHeight="1" ht="22">
      <c r="A38" s="4" t="s">
        <v>224</v>
      </c>
      <c r="B38" s="5" t="s">
        <v>225</v>
      </c>
      <c r="C38" s="6" t="s">
        <v>226</v>
      </c>
      <c r="D38" s="6" t="s">
        <v>227</v>
      </c>
      <c r="E38" s="6" t="s">
        <v>228</v>
      </c>
      <c r="F38" s="6"/>
      <c r="G38" s="7">
        <f>IFERROR(ROUND(M38/N38*100,2),0)</f>
      </c>
      <c r="H38" s="7">
        <f>IFERROR(ROUND(O38/P38*100,2),0)</f>
      </c>
      <c r="I38" s="6" t="s">
        <v>229</v>
      </c>
      <c r="J38" s="6"/>
      <c r="K38" s="7">
        <v>8.04</v>
      </c>
      <c r="L38" s="6" t="s">
        <v>22</v>
      </c>
      <c r="M38" s="7">
        <v>2</v>
      </c>
      <c r="N38" s="7">
        <v>7</v>
      </c>
      <c r="O38" s="7">
        <v>0</v>
      </c>
      <c r="P38" s="7">
        <v>0</v>
      </c>
    </row>
    <row x14ac:dyDescent="0.25" r="39" customHeight="1" ht="22">
      <c r="A39" s="4" t="s">
        <v>230</v>
      </c>
      <c r="B39" s="5" t="s">
        <v>231</v>
      </c>
      <c r="C39" s="6" t="s">
        <v>232</v>
      </c>
      <c r="D39" s="6" t="s">
        <v>233</v>
      </c>
      <c r="E39" s="6" t="s">
        <v>234</v>
      </c>
      <c r="F39" s="6"/>
      <c r="G39" s="7">
        <f>IFERROR(ROUND(M39/N39*100,2),0)</f>
      </c>
      <c r="H39" s="7">
        <f>IFERROR(ROUND(O39/P39*100,2),0)</f>
      </c>
      <c r="I39" s="6"/>
      <c r="J39" s="6"/>
      <c r="K39" s="7">
        <v>3.02</v>
      </c>
      <c r="L39" s="6" t="s">
        <v>22</v>
      </c>
      <c r="M39" s="7">
        <v>6</v>
      </c>
      <c r="N39" s="7">
        <v>6</v>
      </c>
      <c r="O39" s="7">
        <v>0</v>
      </c>
      <c r="P39" s="7">
        <v>0</v>
      </c>
    </row>
    <row x14ac:dyDescent="0.25" r="40" customHeight="1" ht="36">
      <c r="A40" s="4" t="s">
        <v>235</v>
      </c>
      <c r="B40" s="5" t="s">
        <v>236</v>
      </c>
      <c r="C40" s="6" t="s">
        <v>237</v>
      </c>
      <c r="D40" s="6" t="s">
        <v>238</v>
      </c>
      <c r="E40" s="6" t="s">
        <v>239</v>
      </c>
      <c r="F40" s="6"/>
      <c r="G40" s="7">
        <f>IFERROR(ROUND(M40/N40*100,2),0)</f>
      </c>
      <c r="H40" s="7">
        <f>IFERROR(ROUND(O40/P40*100,2),0)</f>
      </c>
      <c r="I40" s="6" t="s">
        <v>240</v>
      </c>
      <c r="J40" s="6"/>
      <c r="K40" s="7">
        <v>3.87</v>
      </c>
      <c r="L40" s="6" t="s">
        <v>22</v>
      </c>
      <c r="M40" s="7">
        <v>6</v>
      </c>
      <c r="N40" s="7">
        <v>9</v>
      </c>
      <c r="O40" s="7">
        <v>0</v>
      </c>
      <c r="P40" s="7">
        <v>0</v>
      </c>
    </row>
    <row x14ac:dyDescent="0.25" r="41" customHeight="1" ht="22">
      <c r="A41" s="4" t="s">
        <v>241</v>
      </c>
      <c r="B41" s="5" t="s">
        <v>242</v>
      </c>
      <c r="C41" s="6" t="s">
        <v>243</v>
      </c>
      <c r="D41" s="6" t="s">
        <v>244</v>
      </c>
      <c r="E41" s="6" t="s">
        <v>245</v>
      </c>
      <c r="F41" s="6"/>
      <c r="G41" s="7">
        <f>IFERROR(ROUND(M41/N41*100,2),0)</f>
      </c>
      <c r="H41" s="7">
        <f>IFERROR(ROUND(O41/P41*100,2),0)</f>
      </c>
      <c r="I41" s="6"/>
      <c r="J41" s="6"/>
      <c r="K41" s="7">
        <v>2.93</v>
      </c>
      <c r="L41" s="6" t="s">
        <v>22</v>
      </c>
      <c r="M41" s="7">
        <v>3</v>
      </c>
      <c r="N41" s="7">
        <v>3</v>
      </c>
      <c r="O41" s="7">
        <v>0</v>
      </c>
      <c r="P41" s="7">
        <v>0</v>
      </c>
    </row>
    <row x14ac:dyDescent="0.25" r="42" customHeight="1" ht="54">
      <c r="A42" s="4" t="s">
        <v>246</v>
      </c>
      <c r="B42" s="5" t="s">
        <v>247</v>
      </c>
      <c r="C42" s="6" t="s">
        <v>248</v>
      </c>
      <c r="D42" s="6" t="s">
        <v>249</v>
      </c>
      <c r="E42" s="6" t="s">
        <v>250</v>
      </c>
      <c r="F42" s="6"/>
      <c r="G42" s="7">
        <f>IFERROR(ROUND(M42/N42*100,2),0)</f>
      </c>
      <c r="H42" s="7">
        <f>IFERROR(ROUND(O42/P42*100,2),0)</f>
      </c>
      <c r="I42" s="6" t="s">
        <v>251</v>
      </c>
      <c r="J42" s="6"/>
      <c r="K42" s="7">
        <v>4.3</v>
      </c>
      <c r="L42" s="6" t="s">
        <v>22</v>
      </c>
      <c r="M42" s="7">
        <v>18</v>
      </c>
      <c r="N42" s="7">
        <v>23</v>
      </c>
      <c r="O42" s="7">
        <v>0</v>
      </c>
      <c r="P42" s="7">
        <v>0</v>
      </c>
    </row>
    <row x14ac:dyDescent="0.25" r="43" customHeight="1" ht="22">
      <c r="A43" s="4" t="s">
        <v>252</v>
      </c>
      <c r="B43" s="5" t="s">
        <v>253</v>
      </c>
      <c r="C43" s="6" t="s">
        <v>254</v>
      </c>
      <c r="D43" s="6" t="s">
        <v>255</v>
      </c>
      <c r="E43" s="6" t="s">
        <v>256</v>
      </c>
      <c r="F43" s="6"/>
      <c r="G43" s="7">
        <f>IFERROR(ROUND(M43/N43*100,2),0)</f>
      </c>
      <c r="H43" s="7">
        <f>IFERROR(ROUND(O43/P43*100,2),0)</f>
      </c>
      <c r="I43" s="6" t="s">
        <v>257</v>
      </c>
      <c r="J43" s="6"/>
      <c r="K43" s="7">
        <v>2.93</v>
      </c>
      <c r="L43" s="6" t="s">
        <v>22</v>
      </c>
      <c r="M43" s="7">
        <v>3</v>
      </c>
      <c r="N43" s="7">
        <v>4</v>
      </c>
      <c r="O43" s="7">
        <v>0</v>
      </c>
      <c r="P43" s="7">
        <v>0</v>
      </c>
    </row>
    <row x14ac:dyDescent="0.25" r="44" customHeight="1" ht="22">
      <c r="A44" s="4" t="s">
        <v>258</v>
      </c>
      <c r="B44" s="5" t="s">
        <v>259</v>
      </c>
      <c r="C44" s="6" t="s">
        <v>260</v>
      </c>
      <c r="D44" s="6" t="s">
        <v>261</v>
      </c>
      <c r="E44" s="6" t="s">
        <v>262</v>
      </c>
      <c r="F44" s="6"/>
      <c r="G44" s="7">
        <f>IFERROR(ROUND(M44/N44*100,2),0)</f>
      </c>
      <c r="H44" s="7">
        <f>IFERROR(ROUND(O44/P44*100,2),0)</f>
      </c>
      <c r="I44" s="6" t="s">
        <v>263</v>
      </c>
      <c r="J44" s="6"/>
      <c r="K44" s="7">
        <v>4.83</v>
      </c>
      <c r="L44" s="6" t="s">
        <v>22</v>
      </c>
      <c r="M44" s="7">
        <v>5</v>
      </c>
      <c r="N44" s="7">
        <v>7</v>
      </c>
      <c r="O44" s="7">
        <v>0</v>
      </c>
      <c r="P44" s="7">
        <v>0</v>
      </c>
    </row>
    <row x14ac:dyDescent="0.25" r="45" customHeight="1" ht="22">
      <c r="A45" s="4" t="s">
        <v>264</v>
      </c>
      <c r="B45" s="5" t="s">
        <v>265</v>
      </c>
      <c r="C45" s="6" t="s">
        <v>266</v>
      </c>
      <c r="D45" s="6" t="s">
        <v>267</v>
      </c>
      <c r="E45" s="6" t="s">
        <v>268</v>
      </c>
      <c r="F45" s="6"/>
      <c r="G45" s="7">
        <f>IFERROR(ROUND(M45/N45*100,2),0)</f>
      </c>
      <c r="H45" s="7">
        <f>IFERROR(ROUND(O45/P45*100,2),0)</f>
      </c>
      <c r="I45" s="6" t="s">
        <v>269</v>
      </c>
      <c r="J45" s="6"/>
      <c r="K45" s="7">
        <v>2.87</v>
      </c>
      <c r="L45" s="6" t="s">
        <v>22</v>
      </c>
      <c r="M45" s="7">
        <v>2</v>
      </c>
      <c r="N45" s="7">
        <v>3</v>
      </c>
      <c r="O45" s="7">
        <v>0</v>
      </c>
      <c r="P45" s="7">
        <v>0</v>
      </c>
    </row>
    <row x14ac:dyDescent="0.25" r="46" customHeight="1" ht="22">
      <c r="A46" s="4" t="s">
        <v>270</v>
      </c>
      <c r="B46" s="5" t="s">
        <v>271</v>
      </c>
      <c r="C46" s="6" t="s">
        <v>272</v>
      </c>
      <c r="D46" s="6" t="s">
        <v>273</v>
      </c>
      <c r="E46" s="6" t="s">
        <v>274</v>
      </c>
      <c r="F46" s="6"/>
      <c r="G46" s="7">
        <f>IFERROR(ROUND(M46/N46*100,2),0)</f>
      </c>
      <c r="H46" s="7">
        <f>IFERROR(ROUND(O46/P46*100,2),0)</f>
      </c>
      <c r="I46" s="6"/>
      <c r="J46" s="6"/>
      <c r="K46" s="7">
        <v>2.88</v>
      </c>
      <c r="L46" s="6" t="s">
        <v>22</v>
      </c>
      <c r="M46" s="7">
        <v>5</v>
      </c>
      <c r="N46" s="7">
        <v>5</v>
      </c>
      <c r="O46" s="7">
        <v>0</v>
      </c>
      <c r="P46" s="7">
        <v>0</v>
      </c>
    </row>
    <row x14ac:dyDescent="0.25" r="47" customHeight="1" ht="36">
      <c r="A47" s="4" t="s">
        <v>275</v>
      </c>
      <c r="B47" s="5" t="s">
        <v>276</v>
      </c>
      <c r="C47" s="6" t="s">
        <v>277</v>
      </c>
      <c r="D47" s="6" t="s">
        <v>278</v>
      </c>
      <c r="E47" s="6" t="s">
        <v>279</v>
      </c>
      <c r="F47" s="6"/>
      <c r="G47" s="7">
        <f>IFERROR(ROUND(M47/N47*100,2),0)</f>
      </c>
      <c r="H47" s="7">
        <f>IFERROR(ROUND(O47/P47*100,2),0)</f>
      </c>
      <c r="I47" s="6" t="s">
        <v>280</v>
      </c>
      <c r="J47" s="6"/>
      <c r="K47" s="7">
        <v>3.64</v>
      </c>
      <c r="L47" s="6" t="s">
        <v>22</v>
      </c>
      <c r="M47" s="7">
        <v>13</v>
      </c>
      <c r="N47" s="7">
        <v>14</v>
      </c>
      <c r="O47" s="7">
        <v>0</v>
      </c>
      <c r="P47" s="7">
        <v>0</v>
      </c>
    </row>
    <row x14ac:dyDescent="0.25" r="48" customHeight="1" ht="36">
      <c r="A48" s="4" t="s">
        <v>281</v>
      </c>
      <c r="B48" s="5" t="s">
        <v>282</v>
      </c>
      <c r="C48" s="6" t="s">
        <v>283</v>
      </c>
      <c r="D48" s="6" t="s">
        <v>284</v>
      </c>
      <c r="E48" s="6" t="s">
        <v>285</v>
      </c>
      <c r="F48" s="6"/>
      <c r="G48" s="7">
        <f>IFERROR(ROUND(M48/N48*100,2),0)</f>
      </c>
      <c r="H48" s="7">
        <f>IFERROR(ROUND(O48/P48*100,2),0)</f>
      </c>
      <c r="I48" s="6" t="s">
        <v>286</v>
      </c>
      <c r="J48" s="6"/>
      <c r="K48" s="7">
        <v>3.36</v>
      </c>
      <c r="L48" s="6" t="s">
        <v>22</v>
      </c>
      <c r="M48" s="7">
        <v>9</v>
      </c>
      <c r="N48" s="7">
        <v>12</v>
      </c>
      <c r="O48" s="7">
        <v>0</v>
      </c>
      <c r="P48" s="7">
        <v>0</v>
      </c>
    </row>
    <row x14ac:dyDescent="0.25" r="49" customHeight="1" ht="22">
      <c r="A49" s="4" t="s">
        <v>287</v>
      </c>
      <c r="B49" s="5" t="s">
        <v>288</v>
      </c>
      <c r="C49" s="6" t="s">
        <v>289</v>
      </c>
      <c r="D49" s="6" t="s">
        <v>290</v>
      </c>
      <c r="E49" s="6" t="s">
        <v>291</v>
      </c>
      <c r="F49" s="6"/>
      <c r="G49" s="7">
        <f>IFERROR(ROUND(M49/N49*100,2),0)</f>
      </c>
      <c r="H49" s="7">
        <f>IFERROR(ROUND(O49/P49*100,2),0)</f>
      </c>
      <c r="I49" s="6" t="s">
        <v>292</v>
      </c>
      <c r="J49" s="6"/>
      <c r="K49" s="7">
        <v>3.55</v>
      </c>
      <c r="L49" s="6" t="s">
        <v>22</v>
      </c>
      <c r="M49" s="7">
        <v>5</v>
      </c>
      <c r="N49" s="7">
        <v>9</v>
      </c>
      <c r="O49" s="7">
        <v>0</v>
      </c>
      <c r="P49" s="7">
        <v>0</v>
      </c>
    </row>
    <row x14ac:dyDescent="0.25" r="50" customHeight="1" ht="36">
      <c r="A50" s="4" t="s">
        <v>293</v>
      </c>
      <c r="B50" s="5" t="s">
        <v>294</v>
      </c>
      <c r="C50" s="6" t="s">
        <v>295</v>
      </c>
      <c r="D50" s="6" t="s">
        <v>296</v>
      </c>
      <c r="E50" s="6" t="s">
        <v>297</v>
      </c>
      <c r="F50" s="6"/>
      <c r="G50" s="7">
        <f>IFERROR(ROUND(M50/N50*100,2),0)</f>
      </c>
      <c r="H50" s="7">
        <f>IFERROR(ROUND(O50/P50*100,2),0)</f>
      </c>
      <c r="I50" s="6" t="s">
        <v>298</v>
      </c>
      <c r="J50" s="6"/>
      <c r="K50" s="7">
        <v>4.72</v>
      </c>
      <c r="L50" s="6" t="s">
        <v>22</v>
      </c>
      <c r="M50" s="7">
        <v>6</v>
      </c>
      <c r="N50" s="7">
        <v>12</v>
      </c>
      <c r="O50" s="7">
        <v>0</v>
      </c>
      <c r="P50" s="7">
        <v>0</v>
      </c>
    </row>
    <row x14ac:dyDescent="0.25" r="51" customHeight="1" ht="22">
      <c r="A51" s="4" t="s">
        <v>299</v>
      </c>
      <c r="B51" s="5" t="s">
        <v>300</v>
      </c>
      <c r="C51" s="6" t="s">
        <v>301</v>
      </c>
      <c r="D51" s="6" t="s">
        <v>302</v>
      </c>
      <c r="E51" s="6" t="s">
        <v>303</v>
      </c>
      <c r="F51" s="6"/>
      <c r="G51" s="7">
        <f>IFERROR(ROUND(M51/N51*100,2),0)</f>
      </c>
      <c r="H51" s="7">
        <f>IFERROR(ROUND(O51/P51*100,2),0)</f>
      </c>
      <c r="I51" s="6" t="s">
        <v>304</v>
      </c>
      <c r="J51" s="6"/>
      <c r="K51" s="7">
        <v>3.37</v>
      </c>
      <c r="L51" s="6" t="s">
        <v>22</v>
      </c>
      <c r="M51" s="7">
        <v>2</v>
      </c>
      <c r="N51" s="7">
        <v>6</v>
      </c>
      <c r="O51" s="7">
        <v>0</v>
      </c>
      <c r="P51" s="7">
        <v>0</v>
      </c>
    </row>
    <row x14ac:dyDescent="0.25" r="52" customHeight="1" ht="22">
      <c r="A52" s="4" t="s">
        <v>305</v>
      </c>
      <c r="B52" s="5" t="s">
        <v>306</v>
      </c>
      <c r="C52" s="6" t="s">
        <v>307</v>
      </c>
      <c r="D52" s="6" t="s">
        <v>308</v>
      </c>
      <c r="E52" s="6" t="s">
        <v>309</v>
      </c>
      <c r="F52" s="6"/>
      <c r="G52" s="7">
        <f>IFERROR(ROUND(M52/N52*100,2),0)</f>
      </c>
      <c r="H52" s="7">
        <f>IFERROR(ROUND(O52/P52*100,2),0)</f>
      </c>
      <c r="I52" s="6" t="s">
        <v>310</v>
      </c>
      <c r="J52" s="6"/>
      <c r="K52" s="7">
        <v>3.33</v>
      </c>
      <c r="L52" s="6" t="s">
        <v>22</v>
      </c>
      <c r="M52" s="7">
        <v>5</v>
      </c>
      <c r="N52" s="7">
        <v>6</v>
      </c>
      <c r="O52" s="7">
        <v>0</v>
      </c>
      <c r="P52" s="7">
        <v>0</v>
      </c>
    </row>
    <row x14ac:dyDescent="0.25" r="53" customHeight="1" ht="22">
      <c r="A53" s="4" t="s">
        <v>311</v>
      </c>
      <c r="B53" s="5" t="s">
        <v>312</v>
      </c>
      <c r="C53" s="6" t="s">
        <v>313</v>
      </c>
      <c r="D53" s="6" t="s">
        <v>314</v>
      </c>
      <c r="E53" s="6" t="s">
        <v>315</v>
      </c>
      <c r="F53" s="6"/>
      <c r="G53" s="7">
        <f>IFERROR(ROUND(M53/N53*100,2),0)</f>
      </c>
      <c r="H53" s="7">
        <f>IFERROR(ROUND(O53/P53*100,2),0)</f>
      </c>
      <c r="I53" s="6"/>
      <c r="J53" s="6"/>
      <c r="K53" s="7">
        <v>2.99</v>
      </c>
      <c r="L53" s="6" t="s">
        <v>22</v>
      </c>
      <c r="M53" s="7">
        <v>5</v>
      </c>
      <c r="N53" s="7">
        <v>5</v>
      </c>
      <c r="O53" s="7">
        <v>0</v>
      </c>
      <c r="P53" s="7">
        <v>0</v>
      </c>
    </row>
    <row x14ac:dyDescent="0.25" r="54" customHeight="1" ht="36">
      <c r="A54" s="4" t="s">
        <v>316</v>
      </c>
      <c r="B54" s="5" t="s">
        <v>317</v>
      </c>
      <c r="C54" s="6" t="s">
        <v>318</v>
      </c>
      <c r="D54" s="6" t="s">
        <v>319</v>
      </c>
      <c r="E54" s="6" t="s">
        <v>320</v>
      </c>
      <c r="F54" s="6"/>
      <c r="G54" s="7">
        <f>IFERROR(ROUND(M54/N54*100,2),0)</f>
      </c>
      <c r="H54" s="7">
        <f>IFERROR(ROUND(O54/P54*100,2),0)</f>
      </c>
      <c r="I54" s="6" t="s">
        <v>321</v>
      </c>
      <c r="J54" s="6"/>
      <c r="K54" s="7">
        <v>3.9</v>
      </c>
      <c r="L54" s="6" t="s">
        <v>22</v>
      </c>
      <c r="M54" s="7">
        <v>10</v>
      </c>
      <c r="N54" s="7">
        <v>13</v>
      </c>
      <c r="O54" s="7">
        <v>0</v>
      </c>
      <c r="P54" s="7">
        <v>0</v>
      </c>
    </row>
    <row x14ac:dyDescent="0.25" r="55" customHeight="1" ht="22">
      <c r="A55" s="4" t="s">
        <v>322</v>
      </c>
      <c r="B55" s="5" t="s">
        <v>323</v>
      </c>
      <c r="C55" s="6" t="s">
        <v>324</v>
      </c>
      <c r="D55" s="6" t="s">
        <v>325</v>
      </c>
      <c r="E55" s="6" t="s">
        <v>326</v>
      </c>
      <c r="F55" s="6"/>
      <c r="G55" s="7">
        <f>IFERROR(ROUND(M55/N55*100,2),0)</f>
      </c>
      <c r="H55" s="7">
        <f>IFERROR(ROUND(O55/P55*100,2),0)</f>
      </c>
      <c r="I55" s="6"/>
      <c r="J55" s="6"/>
      <c r="K55" s="7">
        <v>3.09</v>
      </c>
      <c r="L55" s="6" t="s">
        <v>22</v>
      </c>
      <c r="M55" s="7">
        <v>6</v>
      </c>
      <c r="N55" s="7">
        <v>7</v>
      </c>
      <c r="O55" s="7">
        <v>0</v>
      </c>
      <c r="P55" s="7">
        <v>0</v>
      </c>
    </row>
    <row x14ac:dyDescent="0.25" r="56" customHeight="1" ht="22">
      <c r="A56" s="4" t="s">
        <v>327</v>
      </c>
      <c r="B56" s="5" t="s">
        <v>328</v>
      </c>
      <c r="C56" s="6" t="s">
        <v>329</v>
      </c>
      <c r="D56" s="6" t="s">
        <v>330</v>
      </c>
      <c r="E56" s="6" t="s">
        <v>331</v>
      </c>
      <c r="F56" s="6"/>
      <c r="G56" s="7">
        <f>IFERROR(ROUND(M56/N56*100,2),0)</f>
      </c>
      <c r="H56" s="7">
        <f>IFERROR(ROUND(O56/P56*100,2),0)</f>
      </c>
      <c r="I56" s="6" t="s">
        <v>81</v>
      </c>
      <c r="J56" s="6"/>
      <c r="K56" s="7">
        <v>3.1</v>
      </c>
      <c r="L56" s="6" t="s">
        <v>22</v>
      </c>
      <c r="M56" s="7">
        <v>5</v>
      </c>
      <c r="N56" s="7">
        <v>6</v>
      </c>
      <c r="O56" s="7">
        <v>0</v>
      </c>
      <c r="P56" s="7">
        <v>0</v>
      </c>
    </row>
    <row x14ac:dyDescent="0.25" r="57" customHeight="1" ht="36">
      <c r="A57" s="4" t="s">
        <v>332</v>
      </c>
      <c r="B57" s="5" t="s">
        <v>333</v>
      </c>
      <c r="C57" s="6" t="s">
        <v>334</v>
      </c>
      <c r="D57" s="6" t="s">
        <v>335</v>
      </c>
      <c r="E57" s="6" t="s">
        <v>336</v>
      </c>
      <c r="F57" s="6"/>
      <c r="G57" s="7">
        <f>IFERROR(ROUND(M57/N57*100,2),0)</f>
      </c>
      <c r="H57" s="7">
        <f>IFERROR(ROUND(O57/P57*100,2),0)</f>
      </c>
      <c r="I57" s="6"/>
      <c r="J57" s="6"/>
      <c r="K57" s="7">
        <v>3.67</v>
      </c>
      <c r="L57" s="6" t="s">
        <v>22</v>
      </c>
      <c r="M57" s="7">
        <v>10</v>
      </c>
      <c r="N57" s="7">
        <v>10</v>
      </c>
      <c r="O57" s="7">
        <v>0</v>
      </c>
      <c r="P57" s="7">
        <v>0</v>
      </c>
    </row>
    <row x14ac:dyDescent="0.25" r="58" customHeight="1" ht="36">
      <c r="A58" s="4" t="s">
        <v>337</v>
      </c>
      <c r="B58" s="5" t="s">
        <v>338</v>
      </c>
      <c r="C58" s="6" t="s">
        <v>339</v>
      </c>
      <c r="D58" s="6" t="s">
        <v>340</v>
      </c>
      <c r="E58" s="6" t="s">
        <v>341</v>
      </c>
      <c r="F58" s="6"/>
      <c r="G58" s="7">
        <f>IFERROR(ROUND(M58/N58*100,2),0)</f>
      </c>
      <c r="H58" s="7">
        <f>IFERROR(ROUND(O58/P58*100,2),0)</f>
      </c>
      <c r="I58" s="6" t="s">
        <v>342</v>
      </c>
      <c r="J58" s="6"/>
      <c r="K58" s="7">
        <v>3.98</v>
      </c>
      <c r="L58" s="6" t="s">
        <v>22</v>
      </c>
      <c r="M58" s="7">
        <v>5</v>
      </c>
      <c r="N58" s="7">
        <v>9</v>
      </c>
      <c r="O58" s="7">
        <v>0</v>
      </c>
      <c r="P58" s="7">
        <v>0</v>
      </c>
    </row>
    <row x14ac:dyDescent="0.25" r="59" customHeight="1" ht="22">
      <c r="A59" s="4" t="s">
        <v>343</v>
      </c>
      <c r="B59" s="5" t="s">
        <v>344</v>
      </c>
      <c r="C59" s="6" t="s">
        <v>345</v>
      </c>
      <c r="D59" s="6" t="s">
        <v>346</v>
      </c>
      <c r="E59" s="6" t="s">
        <v>347</v>
      </c>
      <c r="F59" s="6"/>
      <c r="G59" s="7">
        <f>IFERROR(ROUND(M59/N59*100,2),0)</f>
      </c>
      <c r="H59" s="7">
        <f>IFERROR(ROUND(O59/P59*100,2),0)</f>
      </c>
      <c r="I59" s="6" t="s">
        <v>348</v>
      </c>
      <c r="J59" s="6"/>
      <c r="K59" s="7">
        <v>2.8</v>
      </c>
      <c r="L59" s="6" t="s">
        <v>22</v>
      </c>
      <c r="M59" s="7">
        <v>3</v>
      </c>
      <c r="N59" s="7">
        <v>6</v>
      </c>
      <c r="O59" s="7">
        <v>0</v>
      </c>
      <c r="P59" s="7">
        <v>0</v>
      </c>
    </row>
    <row x14ac:dyDescent="0.25" r="60" customHeight="1" ht="36">
      <c r="A60" s="4" t="s">
        <v>349</v>
      </c>
      <c r="B60" s="5" t="s">
        <v>350</v>
      </c>
      <c r="C60" s="6" t="s">
        <v>351</v>
      </c>
      <c r="D60" s="6" t="s">
        <v>352</v>
      </c>
      <c r="E60" s="6" t="s">
        <v>353</v>
      </c>
      <c r="F60" s="6"/>
      <c r="G60" s="7">
        <f>IFERROR(ROUND(M60/N60*100,2),0)</f>
      </c>
      <c r="H60" s="7">
        <f>IFERROR(ROUND(O60/P60*100,2),0)</f>
      </c>
      <c r="I60" s="6" t="s">
        <v>354</v>
      </c>
      <c r="J60" s="6"/>
      <c r="K60" s="7">
        <v>3.59</v>
      </c>
      <c r="L60" s="6" t="s">
        <v>22</v>
      </c>
      <c r="M60" s="7">
        <v>8</v>
      </c>
      <c r="N60" s="7">
        <v>12</v>
      </c>
      <c r="O60" s="7">
        <v>0</v>
      </c>
      <c r="P60" s="7">
        <v>0</v>
      </c>
    </row>
    <row x14ac:dyDescent="0.25" r="61" customHeight="1" ht="22">
      <c r="A61" s="4" t="s">
        <v>355</v>
      </c>
      <c r="B61" s="5" t="s">
        <v>356</v>
      </c>
      <c r="C61" s="6" t="s">
        <v>357</v>
      </c>
      <c r="D61" s="6" t="s">
        <v>358</v>
      </c>
      <c r="E61" s="6" t="s">
        <v>359</v>
      </c>
      <c r="F61" s="6"/>
      <c r="G61" s="7">
        <f>IFERROR(ROUND(M61/N61*100,2),0)</f>
      </c>
      <c r="H61" s="7">
        <f>IFERROR(ROUND(O61/P61*100,2),0)</f>
      </c>
      <c r="I61" s="6" t="s">
        <v>360</v>
      </c>
      <c r="J61" s="6"/>
      <c r="K61" s="7">
        <v>3.73</v>
      </c>
      <c r="L61" s="6" t="s">
        <v>22</v>
      </c>
      <c r="M61" s="7">
        <v>4</v>
      </c>
      <c r="N61" s="7">
        <v>7</v>
      </c>
      <c r="O61" s="7">
        <v>0</v>
      </c>
      <c r="P61" s="7">
        <v>0</v>
      </c>
    </row>
    <row x14ac:dyDescent="0.25" r="62" customHeight="1" ht="36">
      <c r="A62" s="4" t="s">
        <v>361</v>
      </c>
      <c r="B62" s="5" t="s">
        <v>362</v>
      </c>
      <c r="C62" s="6" t="s">
        <v>363</v>
      </c>
      <c r="D62" s="6" t="s">
        <v>364</v>
      </c>
      <c r="E62" s="6" t="s">
        <v>365</v>
      </c>
      <c r="F62" s="6"/>
      <c r="G62" s="7">
        <f>IFERROR(ROUND(M62/N62*100,2),0)</f>
      </c>
      <c r="H62" s="7">
        <f>IFERROR(ROUND(O62/P62*100,2),0)</f>
      </c>
      <c r="I62" s="6" t="s">
        <v>366</v>
      </c>
      <c r="J62" s="6"/>
      <c r="K62" s="7">
        <v>4.3</v>
      </c>
      <c r="L62" s="6" t="s">
        <v>22</v>
      </c>
      <c r="M62" s="7">
        <v>2</v>
      </c>
      <c r="N62" s="7">
        <v>15</v>
      </c>
      <c r="O62" s="7">
        <v>0</v>
      </c>
      <c r="P62" s="7">
        <v>0</v>
      </c>
    </row>
    <row x14ac:dyDescent="0.25" r="63" customHeight="1" ht="36">
      <c r="A63" s="4" t="s">
        <v>367</v>
      </c>
      <c r="B63" s="5" t="s">
        <v>368</v>
      </c>
      <c r="C63" s="6" t="s">
        <v>369</v>
      </c>
      <c r="D63" s="6" t="s">
        <v>370</v>
      </c>
      <c r="E63" s="6" t="s">
        <v>371</v>
      </c>
      <c r="F63" s="6"/>
      <c r="G63" s="7">
        <f>IFERROR(ROUND(M63/N63*100,2),0)</f>
      </c>
      <c r="H63" s="7">
        <f>IFERROR(ROUND(O63/P63*100,2),0)</f>
      </c>
      <c r="I63" s="6" t="s">
        <v>372</v>
      </c>
      <c r="J63" s="6"/>
      <c r="K63" s="7">
        <v>3.9</v>
      </c>
      <c r="L63" s="6" t="s">
        <v>22</v>
      </c>
      <c r="M63" s="7">
        <v>8</v>
      </c>
      <c r="N63" s="7">
        <v>14</v>
      </c>
      <c r="O63" s="7">
        <v>0</v>
      </c>
      <c r="P63" s="7">
        <v>0</v>
      </c>
    </row>
    <row x14ac:dyDescent="0.25" r="64" customHeight="1" ht="36">
      <c r="A64" s="4" t="s">
        <v>373</v>
      </c>
      <c r="B64" s="5" t="s">
        <v>374</v>
      </c>
      <c r="C64" s="6" t="s">
        <v>375</v>
      </c>
      <c r="D64" s="6" t="s">
        <v>376</v>
      </c>
      <c r="E64" s="6" t="s">
        <v>377</v>
      </c>
      <c r="F64" s="6"/>
      <c r="G64" s="7">
        <f>IFERROR(ROUND(M64/N64*100,2),0)</f>
      </c>
      <c r="H64" s="7">
        <f>IFERROR(ROUND(O64/P64*100,2),0)</f>
      </c>
      <c r="I64" s="6" t="s">
        <v>378</v>
      </c>
      <c r="J64" s="6"/>
      <c r="K64" s="7">
        <v>3.5</v>
      </c>
      <c r="L64" s="6" t="s">
        <v>22</v>
      </c>
      <c r="M64" s="7">
        <v>5</v>
      </c>
      <c r="N64" s="7">
        <v>11</v>
      </c>
      <c r="O64" s="7">
        <v>0</v>
      </c>
      <c r="P64" s="7">
        <v>0</v>
      </c>
    </row>
    <row x14ac:dyDescent="0.25" r="65" customHeight="1" ht="36">
      <c r="A65" s="4" t="s">
        <v>379</v>
      </c>
      <c r="B65" s="5" t="s">
        <v>380</v>
      </c>
      <c r="C65" s="6" t="s">
        <v>381</v>
      </c>
      <c r="D65" s="6" t="s">
        <v>382</v>
      </c>
      <c r="E65" s="6" t="s">
        <v>383</v>
      </c>
      <c r="F65" s="6"/>
      <c r="G65" s="7">
        <f>IFERROR(ROUND(M65/N65*100,2),0)</f>
      </c>
      <c r="H65" s="7">
        <f>IFERROR(ROUND(O65/P65*100,2),0)</f>
      </c>
      <c r="I65" s="6"/>
      <c r="J65" s="6"/>
      <c r="K65" s="7">
        <v>3.68</v>
      </c>
      <c r="L65" s="6" t="s">
        <v>22</v>
      </c>
      <c r="M65" s="7">
        <v>9</v>
      </c>
      <c r="N65" s="7">
        <v>9</v>
      </c>
      <c r="O65" s="7">
        <v>0</v>
      </c>
      <c r="P65" s="7">
        <v>0</v>
      </c>
    </row>
    <row x14ac:dyDescent="0.25" r="66" customHeight="1" ht="22">
      <c r="A66" s="4" t="s">
        <v>384</v>
      </c>
      <c r="B66" s="5" t="s">
        <v>385</v>
      </c>
      <c r="C66" s="6" t="s">
        <v>386</v>
      </c>
      <c r="D66" s="6" t="s">
        <v>387</v>
      </c>
      <c r="E66" s="6" t="s">
        <v>388</v>
      </c>
      <c r="F66" s="6"/>
      <c r="G66" s="7">
        <f>IFERROR(ROUND(M66/N66*100,2),0)</f>
      </c>
      <c r="H66" s="7">
        <f>IFERROR(ROUND(O66/P66*100,2),0)</f>
      </c>
      <c r="I66" s="6"/>
      <c r="J66" s="6"/>
      <c r="K66" s="7">
        <v>2.83</v>
      </c>
      <c r="L66" s="6" t="s">
        <v>22</v>
      </c>
      <c r="M66" s="7">
        <v>4</v>
      </c>
      <c r="N66" s="7">
        <v>4</v>
      </c>
      <c r="O66" s="7">
        <v>0</v>
      </c>
      <c r="P66" s="7">
        <v>0</v>
      </c>
    </row>
    <row x14ac:dyDescent="0.25" r="67" customHeight="1" ht="36">
      <c r="A67" s="4" t="s">
        <v>389</v>
      </c>
      <c r="B67" s="5" t="s">
        <v>390</v>
      </c>
      <c r="C67" s="6" t="s">
        <v>391</v>
      </c>
      <c r="D67" s="6" t="s">
        <v>392</v>
      </c>
      <c r="E67" s="6" t="s">
        <v>393</v>
      </c>
      <c r="F67" s="6"/>
      <c r="G67" s="7">
        <f>IFERROR(ROUND(M67/N67*100,2),0)</f>
      </c>
      <c r="H67" s="7">
        <f>IFERROR(ROUND(O67/P67*100,2),0)</f>
      </c>
      <c r="I67" s="6" t="s">
        <v>394</v>
      </c>
      <c r="J67" s="6"/>
      <c r="K67" s="7">
        <v>3.84</v>
      </c>
      <c r="L67" s="6" t="s">
        <v>22</v>
      </c>
      <c r="M67" s="7">
        <v>7</v>
      </c>
      <c r="N67" s="7">
        <v>9</v>
      </c>
      <c r="O67" s="7">
        <v>0</v>
      </c>
      <c r="P67" s="7">
        <v>0</v>
      </c>
    </row>
    <row x14ac:dyDescent="0.25" r="68" customHeight="1" ht="36">
      <c r="A68" s="4" t="s">
        <v>395</v>
      </c>
      <c r="B68" s="5" t="s">
        <v>396</v>
      </c>
      <c r="C68" s="6" t="s">
        <v>397</v>
      </c>
      <c r="D68" s="6" t="s">
        <v>398</v>
      </c>
      <c r="E68" s="6" t="s">
        <v>399</v>
      </c>
      <c r="F68" s="6"/>
      <c r="G68" s="7">
        <f>IFERROR(ROUND(M68/N68*100,2),0)</f>
      </c>
      <c r="H68" s="7">
        <f>IFERROR(ROUND(O68/P68*100,2),0)</f>
      </c>
      <c r="I68" s="6" t="s">
        <v>400</v>
      </c>
      <c r="J68" s="6"/>
      <c r="K68" s="7">
        <v>4.31</v>
      </c>
      <c r="L68" s="6" t="s">
        <v>22</v>
      </c>
      <c r="M68" s="7">
        <v>9</v>
      </c>
      <c r="N68" s="7">
        <v>15</v>
      </c>
      <c r="O68" s="7">
        <v>0</v>
      </c>
      <c r="P68" s="7">
        <v>0</v>
      </c>
    </row>
    <row x14ac:dyDescent="0.25" r="69" customHeight="1" ht="36">
      <c r="A69" s="4" t="s">
        <v>401</v>
      </c>
      <c r="B69" s="5" t="s">
        <v>402</v>
      </c>
      <c r="C69" s="6" t="s">
        <v>403</v>
      </c>
      <c r="D69" s="6" t="s">
        <v>404</v>
      </c>
      <c r="E69" s="6" t="s">
        <v>405</v>
      </c>
      <c r="F69" s="6"/>
      <c r="G69" s="7">
        <f>IFERROR(ROUND(M69/N69*100,2),0)</f>
      </c>
      <c r="H69" s="7">
        <f>IFERROR(ROUND(O69/P69*100,2),0)</f>
      </c>
      <c r="I69" s="6"/>
      <c r="J69" s="6"/>
      <c r="K69" s="7">
        <v>3.78</v>
      </c>
      <c r="L69" s="6" t="s">
        <v>22</v>
      </c>
      <c r="M69" s="7">
        <v>10</v>
      </c>
      <c r="N69" s="7">
        <v>10</v>
      </c>
      <c r="O69" s="7">
        <v>0</v>
      </c>
      <c r="P69" s="7">
        <v>0</v>
      </c>
    </row>
    <row x14ac:dyDescent="0.25" r="70" customHeight="1" ht="22">
      <c r="A70" s="4" t="s">
        <v>406</v>
      </c>
      <c r="B70" s="5" t="s">
        <v>407</v>
      </c>
      <c r="C70" s="6" t="s">
        <v>408</v>
      </c>
      <c r="D70" s="6" t="s">
        <v>409</v>
      </c>
      <c r="E70" s="6" t="s">
        <v>410</v>
      </c>
      <c r="F70" s="6"/>
      <c r="G70" s="7">
        <f>IFERROR(ROUND(M70/N70*100,2),0)</f>
      </c>
      <c r="H70" s="7">
        <f>IFERROR(ROUND(O70/P70*100,2),0)</f>
      </c>
      <c r="I70" s="6" t="s">
        <v>411</v>
      </c>
      <c r="J70" s="6"/>
      <c r="K70" s="7">
        <v>3.27</v>
      </c>
      <c r="L70" s="6" t="s">
        <v>22</v>
      </c>
      <c r="M70" s="7">
        <v>6</v>
      </c>
      <c r="N70" s="7">
        <v>7</v>
      </c>
      <c r="O70" s="7">
        <v>0</v>
      </c>
      <c r="P70" s="7">
        <v>0</v>
      </c>
    </row>
    <row x14ac:dyDescent="0.25" r="71" customHeight="1" ht="36">
      <c r="A71" s="4" t="s">
        <v>412</v>
      </c>
      <c r="B71" s="5" t="s">
        <v>413</v>
      </c>
      <c r="C71" s="6" t="s">
        <v>414</v>
      </c>
      <c r="D71" s="6" t="s">
        <v>415</v>
      </c>
      <c r="E71" s="6" t="s">
        <v>416</v>
      </c>
      <c r="F71" s="6"/>
      <c r="G71" s="7">
        <f>IFERROR(ROUND(M71/N71*100,2),0)</f>
      </c>
      <c r="H71" s="7">
        <f>IFERROR(ROUND(O71/P71*100,2),0)</f>
      </c>
      <c r="I71" s="6"/>
      <c r="J71" s="6"/>
      <c r="K71" s="7">
        <v>4.04</v>
      </c>
      <c r="L71" s="6" t="s">
        <v>22</v>
      </c>
      <c r="M71" s="7">
        <v>11</v>
      </c>
      <c r="N71" s="7">
        <v>11</v>
      </c>
      <c r="O71" s="7">
        <v>0</v>
      </c>
      <c r="P71" s="7">
        <v>0</v>
      </c>
    </row>
    <row x14ac:dyDescent="0.25" r="72" customHeight="1" ht="22">
      <c r="A72" s="4" t="s">
        <v>417</v>
      </c>
      <c r="B72" s="5" t="s">
        <v>418</v>
      </c>
      <c r="C72" s="6" t="s">
        <v>419</v>
      </c>
      <c r="D72" s="6" t="s">
        <v>420</v>
      </c>
      <c r="E72" s="6" t="s">
        <v>421</v>
      </c>
      <c r="F72" s="6"/>
      <c r="G72" s="7">
        <f>IFERROR(ROUND(M72/N72*100,2),0)</f>
      </c>
      <c r="H72" s="7">
        <f>IFERROR(ROUND(O72/P72*100,2),0)</f>
      </c>
      <c r="I72" s="6" t="s">
        <v>422</v>
      </c>
      <c r="J72" s="6"/>
      <c r="K72" s="7">
        <v>3.33</v>
      </c>
      <c r="L72" s="6" t="s">
        <v>22</v>
      </c>
      <c r="M72" s="7">
        <v>6</v>
      </c>
      <c r="N72" s="7">
        <v>7</v>
      </c>
      <c r="O72" s="7">
        <v>0</v>
      </c>
      <c r="P72" s="7">
        <v>0</v>
      </c>
    </row>
    <row x14ac:dyDescent="0.25" r="73" customHeight="1" ht="22">
      <c r="A73" s="4" t="s">
        <v>423</v>
      </c>
      <c r="B73" s="5" t="s">
        <v>424</v>
      </c>
      <c r="C73" s="6" t="s">
        <v>425</v>
      </c>
      <c r="D73" s="6" t="s">
        <v>426</v>
      </c>
      <c r="E73" s="6" t="s">
        <v>427</v>
      </c>
      <c r="F73" s="6"/>
      <c r="G73" s="7">
        <f>IFERROR(ROUND(M73/N73*100,2),0)</f>
      </c>
      <c r="H73" s="7">
        <f>IFERROR(ROUND(O73/P73*100,2),0)</f>
      </c>
      <c r="I73" s="6" t="s">
        <v>428</v>
      </c>
      <c r="J73" s="6"/>
      <c r="K73" s="7">
        <v>3.38</v>
      </c>
      <c r="L73" s="6" t="s">
        <v>22</v>
      </c>
      <c r="M73" s="7">
        <v>4</v>
      </c>
      <c r="N73" s="7">
        <v>6</v>
      </c>
      <c r="O73" s="7">
        <v>0</v>
      </c>
      <c r="P73" s="7">
        <v>0</v>
      </c>
    </row>
    <row x14ac:dyDescent="0.25" r="74" customHeight="1" ht="22">
      <c r="A74" s="4" t="s">
        <v>429</v>
      </c>
      <c r="B74" s="5" t="s">
        <v>430</v>
      </c>
      <c r="C74" s="6" t="s">
        <v>431</v>
      </c>
      <c r="D74" s="6" t="s">
        <v>432</v>
      </c>
      <c r="E74" s="6" t="s">
        <v>433</v>
      </c>
      <c r="F74" s="6"/>
      <c r="G74" s="7">
        <f>IFERROR(ROUND(M74/N74*100,2),0)</f>
      </c>
      <c r="H74" s="7">
        <f>IFERROR(ROUND(O74/P74*100,2),0)</f>
      </c>
      <c r="I74" s="6" t="s">
        <v>434</v>
      </c>
      <c r="J74" s="6"/>
      <c r="K74" s="7">
        <v>3.73</v>
      </c>
      <c r="L74" s="6" t="s">
        <v>22</v>
      </c>
      <c r="M74" s="7">
        <v>5</v>
      </c>
      <c r="N74" s="7">
        <v>9</v>
      </c>
      <c r="O74" s="7">
        <v>0</v>
      </c>
      <c r="P74" s="7">
        <v>0</v>
      </c>
    </row>
    <row x14ac:dyDescent="0.25" r="75" customHeight="1" ht="36">
      <c r="A75" s="4" t="s">
        <v>435</v>
      </c>
      <c r="B75" s="5" t="s">
        <v>436</v>
      </c>
      <c r="C75" s="6" t="s">
        <v>437</v>
      </c>
      <c r="D75" s="6" t="s">
        <v>438</v>
      </c>
      <c r="E75" s="6" t="s">
        <v>439</v>
      </c>
      <c r="F75" s="6"/>
      <c r="G75" s="7">
        <f>IFERROR(ROUND(M75/N75*100,2),0)</f>
      </c>
      <c r="H75" s="7">
        <f>IFERROR(ROUND(O75/P75*100,2),0)</f>
      </c>
      <c r="I75" s="6" t="s">
        <v>440</v>
      </c>
      <c r="J75" s="6"/>
      <c r="K75" s="7">
        <v>3.56</v>
      </c>
      <c r="L75" s="6" t="s">
        <v>22</v>
      </c>
      <c r="M75" s="7">
        <v>10</v>
      </c>
      <c r="N75" s="7">
        <v>12</v>
      </c>
      <c r="O75" s="7">
        <v>0</v>
      </c>
      <c r="P75" s="7">
        <v>0</v>
      </c>
    </row>
    <row x14ac:dyDescent="0.25" r="76" customHeight="1" ht="36">
      <c r="A76" s="4" t="s">
        <v>441</v>
      </c>
      <c r="B76" s="5" t="s">
        <v>442</v>
      </c>
      <c r="C76" s="6" t="s">
        <v>443</v>
      </c>
      <c r="D76" s="6" t="s">
        <v>444</v>
      </c>
      <c r="E76" s="6" t="s">
        <v>444</v>
      </c>
      <c r="F76" s="6"/>
      <c r="G76" s="7">
        <f>IFERROR(ROUND(M76/N76*100,2),0)</f>
      </c>
      <c r="H76" s="7">
        <f>IFERROR(ROUND(O76/P76*100,2),0)</f>
      </c>
      <c r="I76" s="6" t="s">
        <v>445</v>
      </c>
      <c r="J76" s="6"/>
      <c r="K76" s="7">
        <v>3.27</v>
      </c>
      <c r="L76" s="6" t="s">
        <v>22</v>
      </c>
      <c r="M76" s="7">
        <v>0</v>
      </c>
      <c r="N76" s="7">
        <v>8</v>
      </c>
      <c r="O76" s="7">
        <v>0</v>
      </c>
      <c r="P76" s="7">
        <v>0</v>
      </c>
    </row>
    <row x14ac:dyDescent="0.25" r="77" customHeight="1" ht="22">
      <c r="A77" s="4" t="s">
        <v>446</v>
      </c>
      <c r="B77" s="5" t="s">
        <v>447</v>
      </c>
      <c r="C77" s="6" t="s">
        <v>448</v>
      </c>
      <c r="D77" s="6" t="s">
        <v>449</v>
      </c>
      <c r="E77" s="6" t="s">
        <v>450</v>
      </c>
      <c r="F77" s="6"/>
      <c r="G77" s="7">
        <f>IFERROR(ROUND(M77/N77*100,2),0)</f>
      </c>
      <c r="H77" s="7">
        <f>IFERROR(ROUND(O77/P77*100,2),0)</f>
      </c>
      <c r="I77" s="6" t="s">
        <v>451</v>
      </c>
      <c r="J77" s="6"/>
      <c r="K77" s="7">
        <v>3.39</v>
      </c>
      <c r="L77" s="6" t="s">
        <v>22</v>
      </c>
      <c r="M77" s="7">
        <v>6</v>
      </c>
      <c r="N77" s="7">
        <v>9</v>
      </c>
      <c r="O77" s="7">
        <v>0</v>
      </c>
      <c r="P77" s="7">
        <v>0</v>
      </c>
    </row>
    <row x14ac:dyDescent="0.25" r="78" customHeight="1" ht="36">
      <c r="A78" s="4" t="s">
        <v>452</v>
      </c>
      <c r="B78" s="5" t="s">
        <v>453</v>
      </c>
      <c r="C78" s="6" t="s">
        <v>454</v>
      </c>
      <c r="D78" s="6" t="s">
        <v>455</v>
      </c>
      <c r="E78" s="6" t="s">
        <v>456</v>
      </c>
      <c r="F78" s="6"/>
      <c r="G78" s="7">
        <f>IFERROR(ROUND(M78/N78*100,2),0)</f>
      </c>
      <c r="H78" s="7">
        <f>IFERROR(ROUND(O78/P78*100,2),0)</f>
      </c>
      <c r="I78" s="6" t="s">
        <v>457</v>
      </c>
      <c r="J78" s="6"/>
      <c r="K78" s="7">
        <v>3.62</v>
      </c>
      <c r="L78" s="6" t="s">
        <v>22</v>
      </c>
      <c r="M78" s="7">
        <v>9</v>
      </c>
      <c r="N78" s="7">
        <v>11</v>
      </c>
      <c r="O78" s="7">
        <v>0</v>
      </c>
      <c r="P78" s="7">
        <v>0</v>
      </c>
    </row>
    <row x14ac:dyDescent="0.25" r="79" customHeight="1" ht="22">
      <c r="A79" s="4" t="s">
        <v>458</v>
      </c>
      <c r="B79" s="5" t="s">
        <v>459</v>
      </c>
      <c r="C79" s="6" t="s">
        <v>460</v>
      </c>
      <c r="D79" s="6" t="s">
        <v>461</v>
      </c>
      <c r="E79" s="6" t="s">
        <v>461</v>
      </c>
      <c r="F79" s="6"/>
      <c r="G79" s="7">
        <f>IFERROR(ROUND(M79/N79*100,2),0)</f>
      </c>
      <c r="H79" s="7">
        <f>IFERROR(ROUND(O79/P79*100,2),0)</f>
      </c>
      <c r="I79" s="6" t="s">
        <v>462</v>
      </c>
      <c r="J79" s="6"/>
      <c r="K79" s="7">
        <v>2.7</v>
      </c>
      <c r="L79" s="6" t="s">
        <v>22</v>
      </c>
      <c r="M79" s="7">
        <v>1</v>
      </c>
      <c r="N79" s="7">
        <v>3</v>
      </c>
      <c r="O79" s="7">
        <v>0</v>
      </c>
      <c r="P79" s="7">
        <v>0</v>
      </c>
    </row>
    <row x14ac:dyDescent="0.25" r="80" customHeight="1" ht="22">
      <c r="A80" s="4" t="s">
        <v>463</v>
      </c>
      <c r="B80" s="5" t="s">
        <v>464</v>
      </c>
      <c r="C80" s="6" t="s">
        <v>465</v>
      </c>
      <c r="D80" s="6" t="s">
        <v>466</v>
      </c>
      <c r="E80" s="6" t="s">
        <v>467</v>
      </c>
      <c r="F80" s="6"/>
      <c r="G80" s="7">
        <f>IFERROR(ROUND(M80/N80*100,2),0)</f>
      </c>
      <c r="H80" s="7">
        <f>IFERROR(ROUND(O80/P80*100,2),0)</f>
      </c>
      <c r="I80" s="6"/>
      <c r="J80" s="6"/>
      <c r="K80" s="7">
        <v>3.5</v>
      </c>
      <c r="L80" s="6" t="s">
        <v>22</v>
      </c>
      <c r="M80" s="7">
        <v>7</v>
      </c>
      <c r="N80" s="7">
        <v>7</v>
      </c>
      <c r="O80" s="7">
        <v>0</v>
      </c>
      <c r="P80" s="7">
        <v>0</v>
      </c>
    </row>
    <row x14ac:dyDescent="0.25" r="81" customHeight="1" ht="22">
      <c r="A81" s="4" t="s">
        <v>468</v>
      </c>
      <c r="B81" s="5" t="s">
        <v>469</v>
      </c>
      <c r="C81" s="6" t="s">
        <v>470</v>
      </c>
      <c r="D81" s="6" t="s">
        <v>471</v>
      </c>
      <c r="E81" s="6" t="s">
        <v>471</v>
      </c>
      <c r="F81" s="6"/>
      <c r="G81" s="7">
        <f>IFERROR(ROUND(M81/N81*100,2),0)</f>
      </c>
      <c r="H81" s="7">
        <f>IFERROR(ROUND(O81/P81*100,2),0)</f>
      </c>
      <c r="I81" s="6" t="s">
        <v>472</v>
      </c>
      <c r="J81" s="6"/>
      <c r="K81" s="7">
        <v>3.06</v>
      </c>
      <c r="L81" s="6" t="s">
        <v>22</v>
      </c>
      <c r="M81" s="7">
        <v>0</v>
      </c>
      <c r="N81" s="7">
        <v>6</v>
      </c>
      <c r="O81" s="7">
        <v>0</v>
      </c>
      <c r="P81" s="7">
        <v>0</v>
      </c>
    </row>
    <row x14ac:dyDescent="0.25" r="82" customHeight="1" ht="22">
      <c r="A82" s="4" t="s">
        <v>473</v>
      </c>
      <c r="B82" s="5" t="s">
        <v>474</v>
      </c>
      <c r="C82" s="6" t="s">
        <v>475</v>
      </c>
      <c r="D82" s="6" t="s">
        <v>476</v>
      </c>
      <c r="E82" s="6" t="s">
        <v>477</v>
      </c>
      <c r="F82" s="6"/>
      <c r="G82" s="7">
        <f>IFERROR(ROUND(M82/N82*100,2),0)</f>
      </c>
      <c r="H82" s="7">
        <f>IFERROR(ROUND(O82/P82*100,2),0)</f>
      </c>
      <c r="I82" s="6"/>
      <c r="J82" s="6"/>
      <c r="K82" s="7">
        <v>3.56</v>
      </c>
      <c r="L82" s="6" t="s">
        <v>22</v>
      </c>
      <c r="M82" s="7">
        <v>5</v>
      </c>
      <c r="N82" s="7">
        <v>5</v>
      </c>
      <c r="O82" s="7">
        <v>0</v>
      </c>
      <c r="P82" s="7">
        <v>0</v>
      </c>
    </row>
    <row x14ac:dyDescent="0.25" r="83" customHeight="1" ht="22">
      <c r="A83" s="4" t="s">
        <v>478</v>
      </c>
      <c r="B83" s="5" t="s">
        <v>479</v>
      </c>
      <c r="C83" s="6" t="s">
        <v>480</v>
      </c>
      <c r="D83" s="6" t="s">
        <v>481</v>
      </c>
      <c r="E83" s="6" t="s">
        <v>482</v>
      </c>
      <c r="F83" s="6"/>
      <c r="G83" s="7">
        <f>IFERROR(ROUND(M83/N83*100,2),0)</f>
      </c>
      <c r="H83" s="7">
        <f>IFERROR(ROUND(O83/P83*100,2),0)</f>
      </c>
      <c r="I83" s="6" t="s">
        <v>483</v>
      </c>
      <c r="J83" s="6"/>
      <c r="K83" s="7">
        <v>3.42</v>
      </c>
      <c r="L83" s="6" t="s">
        <v>22</v>
      </c>
      <c r="M83" s="7">
        <v>5</v>
      </c>
      <c r="N83" s="7">
        <v>7</v>
      </c>
      <c r="O83" s="7">
        <v>0</v>
      </c>
      <c r="P83" s="7">
        <v>0</v>
      </c>
    </row>
    <row x14ac:dyDescent="0.25" r="84" customHeight="1" ht="36">
      <c r="A84" s="4" t="s">
        <v>484</v>
      </c>
      <c r="B84" s="5" t="s">
        <v>485</v>
      </c>
      <c r="C84" s="6" t="s">
        <v>486</v>
      </c>
      <c r="D84" s="6" t="s">
        <v>487</v>
      </c>
      <c r="E84" s="6" t="s">
        <v>488</v>
      </c>
      <c r="F84" s="6"/>
      <c r="G84" s="7">
        <f>IFERROR(ROUND(M84/N84*100,2),0)</f>
      </c>
      <c r="H84" s="7">
        <f>IFERROR(ROUND(O84/P84*100,2),0)</f>
      </c>
      <c r="I84" s="6" t="s">
        <v>489</v>
      </c>
      <c r="J84" s="6"/>
      <c r="K84" s="7">
        <v>3.79</v>
      </c>
      <c r="L84" s="6" t="s">
        <v>22</v>
      </c>
      <c r="M84" s="7">
        <v>5</v>
      </c>
      <c r="N84" s="7">
        <v>9</v>
      </c>
      <c r="O84" s="7">
        <v>0</v>
      </c>
      <c r="P84" s="7">
        <v>0</v>
      </c>
    </row>
    <row x14ac:dyDescent="0.25" r="85" customHeight="1" ht="22">
      <c r="A85" s="4" t="s">
        <v>490</v>
      </c>
      <c r="B85" s="5" t="s">
        <v>491</v>
      </c>
      <c r="C85" s="6" t="s">
        <v>492</v>
      </c>
      <c r="D85" s="6" t="s">
        <v>493</v>
      </c>
      <c r="E85" s="6" t="s">
        <v>494</v>
      </c>
      <c r="F85" s="6"/>
      <c r="G85" s="7">
        <f>IFERROR(ROUND(M85/N85*100,2),0)</f>
      </c>
      <c r="H85" s="7">
        <f>IFERROR(ROUND(O85/P85*100,2),0)</f>
      </c>
      <c r="I85" s="6" t="s">
        <v>495</v>
      </c>
      <c r="J85" s="6"/>
      <c r="K85" s="7">
        <v>9.09</v>
      </c>
      <c r="L85" s="6" t="s">
        <v>22</v>
      </c>
      <c r="M85" s="7">
        <v>5</v>
      </c>
      <c r="N85" s="7">
        <v>7</v>
      </c>
      <c r="O85" s="7">
        <v>0</v>
      </c>
      <c r="P85" s="7">
        <v>0</v>
      </c>
    </row>
    <row x14ac:dyDescent="0.25" r="86" customHeight="1" ht="36">
      <c r="A86" s="4" t="s">
        <v>496</v>
      </c>
      <c r="B86" s="5" t="s">
        <v>497</v>
      </c>
      <c r="C86" s="6" t="s">
        <v>498</v>
      </c>
      <c r="D86" s="6" t="s">
        <v>499</v>
      </c>
      <c r="E86" s="6" t="s">
        <v>500</v>
      </c>
      <c r="F86" s="6"/>
      <c r="G86" s="7">
        <f>IFERROR(ROUND(M86/N86*100,2),0)</f>
      </c>
      <c r="H86" s="7">
        <f>IFERROR(ROUND(O86/P86*100,2),0)</f>
      </c>
      <c r="I86" s="6" t="s">
        <v>501</v>
      </c>
      <c r="J86" s="6"/>
      <c r="K86" s="7">
        <v>3.58</v>
      </c>
      <c r="L86" s="6" t="s">
        <v>22</v>
      </c>
      <c r="M86" s="7">
        <v>10</v>
      </c>
      <c r="N86" s="7">
        <v>11</v>
      </c>
      <c r="O86" s="7">
        <v>0</v>
      </c>
      <c r="P86" s="7">
        <v>0</v>
      </c>
    </row>
    <row x14ac:dyDescent="0.25" r="87" customHeight="1" ht="22">
      <c r="A87" s="4" t="s">
        <v>502</v>
      </c>
      <c r="B87" s="5" t="s">
        <v>503</v>
      </c>
      <c r="C87" s="6" t="s">
        <v>504</v>
      </c>
      <c r="D87" s="6" t="s">
        <v>505</v>
      </c>
      <c r="E87" s="6" t="s">
        <v>506</v>
      </c>
      <c r="F87" s="6"/>
      <c r="G87" s="7">
        <f>IFERROR(ROUND(M87/N87*100,2),0)</f>
      </c>
      <c r="H87" s="7">
        <f>IFERROR(ROUND(O87/P87*100,2),0)</f>
      </c>
      <c r="I87" s="6" t="s">
        <v>507</v>
      </c>
      <c r="J87" s="6"/>
      <c r="K87" s="7">
        <v>2.84</v>
      </c>
      <c r="L87" s="6" t="s">
        <v>22</v>
      </c>
      <c r="M87" s="7">
        <v>4</v>
      </c>
      <c r="N87" s="7">
        <v>5</v>
      </c>
      <c r="O87" s="7">
        <v>0</v>
      </c>
      <c r="P87" s="7">
        <v>0</v>
      </c>
    </row>
    <row x14ac:dyDescent="0.25" r="88" customHeight="1" ht="54">
      <c r="A88" s="4" t="s">
        <v>508</v>
      </c>
      <c r="B88" s="5" t="s">
        <v>509</v>
      </c>
      <c r="C88" s="6" t="s">
        <v>510</v>
      </c>
      <c r="D88" s="6" t="s">
        <v>511</v>
      </c>
      <c r="E88" s="6" t="s">
        <v>512</v>
      </c>
      <c r="F88" s="6"/>
      <c r="G88" s="7">
        <f>IFERROR(ROUND(M88/N88*100,2),0)</f>
      </c>
      <c r="H88" s="7">
        <f>IFERROR(ROUND(O88/P88*100,2),0)</f>
      </c>
      <c r="I88" s="6" t="s">
        <v>513</v>
      </c>
      <c r="J88" s="6"/>
      <c r="K88" s="7">
        <v>4.43</v>
      </c>
      <c r="L88" s="6" t="s">
        <v>22</v>
      </c>
      <c r="M88" s="7">
        <v>15</v>
      </c>
      <c r="N88" s="7">
        <v>20</v>
      </c>
      <c r="O88" s="7">
        <v>0</v>
      </c>
      <c r="P88" s="7">
        <v>0</v>
      </c>
    </row>
    <row x14ac:dyDescent="0.25" r="89" customHeight="1" ht="36">
      <c r="A89" s="4" t="s">
        <v>514</v>
      </c>
      <c r="B89" s="5" t="s">
        <v>515</v>
      </c>
      <c r="C89" s="6" t="s">
        <v>516</v>
      </c>
      <c r="D89" s="6" t="s">
        <v>517</v>
      </c>
      <c r="E89" s="6" t="s">
        <v>518</v>
      </c>
      <c r="F89" s="6"/>
      <c r="G89" s="7">
        <f>IFERROR(ROUND(M89/N89*100,2),0)</f>
      </c>
      <c r="H89" s="7">
        <f>IFERROR(ROUND(O89/P89*100,2),0)</f>
      </c>
      <c r="I89" s="6" t="s">
        <v>519</v>
      </c>
      <c r="J89" s="6"/>
      <c r="K89" s="7">
        <v>3.78</v>
      </c>
      <c r="L89" s="6" t="s">
        <v>22</v>
      </c>
      <c r="M89" s="7">
        <v>8</v>
      </c>
      <c r="N89" s="7">
        <v>11</v>
      </c>
      <c r="O89" s="7">
        <v>0</v>
      </c>
      <c r="P89" s="7">
        <v>0</v>
      </c>
    </row>
    <row x14ac:dyDescent="0.25" r="90" customHeight="1" ht="22">
      <c r="A90" s="4" t="s">
        <v>520</v>
      </c>
      <c r="B90" s="5" t="s">
        <v>521</v>
      </c>
      <c r="C90" s="6" t="s">
        <v>522</v>
      </c>
      <c r="D90" s="6" t="s">
        <v>523</v>
      </c>
      <c r="E90" s="6" t="s">
        <v>524</v>
      </c>
      <c r="F90" s="6"/>
      <c r="G90" s="7">
        <f>IFERROR(ROUND(M90/N90*100,2),0)</f>
      </c>
      <c r="H90" s="7">
        <f>IFERROR(ROUND(O90/P90*100,2),0)</f>
      </c>
      <c r="I90" s="6" t="s">
        <v>525</v>
      </c>
      <c r="J90" s="6"/>
      <c r="K90" s="7">
        <v>3.05</v>
      </c>
      <c r="L90" s="6" t="s">
        <v>22</v>
      </c>
      <c r="M90" s="7">
        <v>4</v>
      </c>
      <c r="N90" s="7">
        <v>7</v>
      </c>
      <c r="O90" s="7">
        <v>0</v>
      </c>
      <c r="P90" s="7">
        <v>0</v>
      </c>
    </row>
    <row x14ac:dyDescent="0.25" r="91" customHeight="1" ht="36">
      <c r="A91" s="4" t="s">
        <v>526</v>
      </c>
      <c r="B91" s="5" t="s">
        <v>527</v>
      </c>
      <c r="C91" s="6" t="s">
        <v>528</v>
      </c>
      <c r="D91" s="6" t="s">
        <v>529</v>
      </c>
      <c r="E91" s="6" t="s">
        <v>530</v>
      </c>
      <c r="F91" s="6"/>
      <c r="G91" s="7">
        <f>IFERROR(ROUND(M91/N91*100,2),0)</f>
      </c>
      <c r="H91" s="7">
        <f>IFERROR(ROUND(O91/P91*100,2),0)</f>
      </c>
      <c r="I91" s="6" t="s">
        <v>531</v>
      </c>
      <c r="J91" s="6"/>
      <c r="K91" s="7">
        <v>3.45</v>
      </c>
      <c r="L91" s="6" t="s">
        <v>22</v>
      </c>
      <c r="M91" s="7">
        <v>6</v>
      </c>
      <c r="N91" s="7">
        <v>10</v>
      </c>
      <c r="O91" s="7">
        <v>0</v>
      </c>
      <c r="P91" s="7">
        <v>0</v>
      </c>
    </row>
    <row x14ac:dyDescent="0.25" r="92" customHeight="1" ht="22">
      <c r="A92" s="4" t="s">
        <v>532</v>
      </c>
      <c r="B92" s="5" t="s">
        <v>533</v>
      </c>
      <c r="C92" s="6" t="s">
        <v>534</v>
      </c>
      <c r="D92" s="6" t="s">
        <v>535</v>
      </c>
      <c r="E92" s="6" t="s">
        <v>536</v>
      </c>
      <c r="F92" s="6"/>
      <c r="G92" s="7">
        <f>IFERROR(ROUND(M92/N92*100,2),0)</f>
      </c>
      <c r="H92" s="7">
        <f>IFERROR(ROUND(O92/P92*100,2),0)</f>
      </c>
      <c r="I92" s="6"/>
      <c r="J92" s="6"/>
      <c r="K92" s="7">
        <v>2.94</v>
      </c>
      <c r="L92" s="6" t="s">
        <v>22</v>
      </c>
      <c r="M92" s="7">
        <v>4</v>
      </c>
      <c r="N92" s="7">
        <v>4</v>
      </c>
      <c r="O92" s="7">
        <v>0</v>
      </c>
      <c r="P92" s="7">
        <v>0</v>
      </c>
    </row>
    <row x14ac:dyDescent="0.25" r="93" customHeight="1" ht="22">
      <c r="A93" s="4" t="s">
        <v>537</v>
      </c>
      <c r="B93" s="5" t="s">
        <v>538</v>
      </c>
      <c r="C93" s="6" t="s">
        <v>539</v>
      </c>
      <c r="D93" s="6" t="s">
        <v>540</v>
      </c>
      <c r="E93" s="6" t="s">
        <v>541</v>
      </c>
      <c r="F93" s="6"/>
      <c r="G93" s="7">
        <f>IFERROR(ROUND(M93/N93*100,2),0)</f>
      </c>
      <c r="H93" s="7">
        <f>IFERROR(ROUND(O93/P93*100,2),0)</f>
      </c>
      <c r="I93" s="6" t="s">
        <v>542</v>
      </c>
      <c r="J93" s="6"/>
      <c r="K93" s="7">
        <v>3.54</v>
      </c>
      <c r="L93" s="6" t="s">
        <v>22</v>
      </c>
      <c r="M93" s="7">
        <v>4</v>
      </c>
      <c r="N93" s="7">
        <v>6</v>
      </c>
      <c r="O93" s="7">
        <v>0</v>
      </c>
      <c r="P93" s="7">
        <v>0</v>
      </c>
    </row>
    <row x14ac:dyDescent="0.25" r="94" customHeight="1" ht="22">
      <c r="A94" s="4" t="s">
        <v>543</v>
      </c>
      <c r="B94" s="5" t="s">
        <v>544</v>
      </c>
      <c r="C94" s="6" t="s">
        <v>545</v>
      </c>
      <c r="D94" s="6" t="s">
        <v>546</v>
      </c>
      <c r="E94" s="6" t="s">
        <v>547</v>
      </c>
      <c r="F94" s="6"/>
      <c r="G94" s="7">
        <f>IFERROR(ROUND(M94/N94*100,2),0)</f>
      </c>
      <c r="H94" s="7">
        <f>IFERROR(ROUND(O94/P94*100,2),0)</f>
      </c>
      <c r="I94" s="6" t="s">
        <v>548</v>
      </c>
      <c r="J94" s="6"/>
      <c r="K94" s="7">
        <v>3.35</v>
      </c>
      <c r="L94" s="6" t="s">
        <v>22</v>
      </c>
      <c r="M94" s="7">
        <v>5</v>
      </c>
      <c r="N94" s="7">
        <v>9</v>
      </c>
      <c r="O94" s="7">
        <v>0</v>
      </c>
      <c r="P94" s="7">
        <v>0</v>
      </c>
    </row>
    <row x14ac:dyDescent="0.25" r="95" customHeight="1" ht="22">
      <c r="A95" s="4" t="s">
        <v>549</v>
      </c>
      <c r="B95" s="5" t="s">
        <v>550</v>
      </c>
      <c r="C95" s="6" t="s">
        <v>551</v>
      </c>
      <c r="D95" s="6" t="s">
        <v>552</v>
      </c>
      <c r="E95" s="6" t="s">
        <v>553</v>
      </c>
      <c r="F95" s="6"/>
      <c r="G95" s="7">
        <f>IFERROR(ROUND(M95/N95*100,2),0)</f>
      </c>
      <c r="H95" s="7">
        <f>IFERROR(ROUND(O95/P95*100,2),0)</f>
      </c>
      <c r="I95" s="6" t="s">
        <v>554</v>
      </c>
      <c r="J95" s="6"/>
      <c r="K95" s="7">
        <v>2.91</v>
      </c>
      <c r="L95" s="6" t="s">
        <v>22</v>
      </c>
      <c r="M95" s="7">
        <v>3</v>
      </c>
      <c r="N95" s="7">
        <v>5</v>
      </c>
      <c r="O95" s="7">
        <v>0</v>
      </c>
      <c r="P95" s="7">
        <v>0</v>
      </c>
    </row>
    <row x14ac:dyDescent="0.25" r="96" customHeight="1" ht="22">
      <c r="A96" s="4" t="s">
        <v>555</v>
      </c>
      <c r="B96" s="5" t="s">
        <v>556</v>
      </c>
      <c r="C96" s="6" t="s">
        <v>557</v>
      </c>
      <c r="D96" s="6" t="s">
        <v>558</v>
      </c>
      <c r="E96" s="6" t="s">
        <v>557</v>
      </c>
      <c r="F96" s="6"/>
      <c r="G96" s="7">
        <f>IFERROR(ROUND(M96/N96*100,2),0)</f>
      </c>
      <c r="H96" s="7">
        <f>IFERROR(ROUND(O96/P96*100,2),0)</f>
      </c>
      <c r="I96" s="6"/>
      <c r="J96" s="6"/>
      <c r="K96" s="7">
        <v>2.73</v>
      </c>
      <c r="L96" s="6" t="s">
        <v>22</v>
      </c>
      <c r="M96" s="7">
        <v>3</v>
      </c>
      <c r="N96" s="7">
        <v>3</v>
      </c>
      <c r="O96" s="7">
        <v>0</v>
      </c>
      <c r="P96" s="7">
        <v>0</v>
      </c>
    </row>
    <row x14ac:dyDescent="0.25" r="97" customHeight="1" ht="22">
      <c r="A97" s="4" t="s">
        <v>559</v>
      </c>
      <c r="B97" s="5" t="s">
        <v>560</v>
      </c>
      <c r="C97" s="6" t="s">
        <v>561</v>
      </c>
      <c r="D97" s="6" t="s">
        <v>562</v>
      </c>
      <c r="E97" s="6" t="s">
        <v>563</v>
      </c>
      <c r="F97" s="6"/>
      <c r="G97" s="7">
        <f>IFERROR(ROUND(M97/N97*100,2),0)</f>
      </c>
      <c r="H97" s="7">
        <f>IFERROR(ROUND(O97/P97*100,2),0)</f>
      </c>
      <c r="I97" s="6" t="s">
        <v>564</v>
      </c>
      <c r="J97" s="6"/>
      <c r="K97" s="7">
        <v>2.87</v>
      </c>
      <c r="L97" s="6" t="s">
        <v>22</v>
      </c>
      <c r="M97" s="7">
        <v>5</v>
      </c>
      <c r="N97" s="7">
        <v>7</v>
      </c>
      <c r="O97" s="7">
        <v>0</v>
      </c>
      <c r="P97" s="7">
        <v>0</v>
      </c>
    </row>
    <row x14ac:dyDescent="0.25" r="98" customHeight="1" ht="22">
      <c r="A98" s="4" t="s">
        <v>565</v>
      </c>
      <c r="B98" s="5" t="s">
        <v>566</v>
      </c>
      <c r="C98" s="6" t="s">
        <v>567</v>
      </c>
      <c r="D98" s="6" t="s">
        <v>568</v>
      </c>
      <c r="E98" s="6" t="s">
        <v>569</v>
      </c>
      <c r="F98" s="6"/>
      <c r="G98" s="7">
        <f>IFERROR(ROUND(M98/N98*100,2),0)</f>
      </c>
      <c r="H98" s="7">
        <f>IFERROR(ROUND(O98/P98*100,2),0)</f>
      </c>
      <c r="I98" s="6" t="s">
        <v>570</v>
      </c>
      <c r="J98" s="6"/>
      <c r="K98" s="7">
        <v>2.81</v>
      </c>
      <c r="L98" s="6" t="s">
        <v>22</v>
      </c>
      <c r="M98" s="7">
        <v>2</v>
      </c>
      <c r="N98" s="7">
        <v>4</v>
      </c>
      <c r="O98" s="7">
        <v>0</v>
      </c>
      <c r="P98" s="7">
        <v>0</v>
      </c>
    </row>
    <row x14ac:dyDescent="0.25" r="99" customHeight="1" ht="36">
      <c r="A99" s="4" t="s">
        <v>571</v>
      </c>
      <c r="B99" s="5" t="s">
        <v>572</v>
      </c>
      <c r="C99" s="6" t="s">
        <v>573</v>
      </c>
      <c r="D99" s="6" t="s">
        <v>574</v>
      </c>
      <c r="E99" s="6" t="s">
        <v>575</v>
      </c>
      <c r="F99" s="6"/>
      <c r="G99" s="7">
        <f>IFERROR(ROUND(M99/N99*100,2),0)</f>
      </c>
      <c r="H99" s="7">
        <f>IFERROR(ROUND(O99/P99*100,2),0)</f>
      </c>
      <c r="I99" s="6" t="s">
        <v>576</v>
      </c>
      <c r="J99" s="6"/>
      <c r="K99" s="7">
        <v>3.54</v>
      </c>
      <c r="L99" s="6" t="s">
        <v>22</v>
      </c>
      <c r="M99" s="7">
        <v>8</v>
      </c>
      <c r="N99" s="7">
        <v>10</v>
      </c>
      <c r="O99" s="7">
        <v>0</v>
      </c>
      <c r="P99" s="7">
        <v>0</v>
      </c>
    </row>
    <row x14ac:dyDescent="0.25" r="100" customHeight="1" ht="36">
      <c r="A100" s="4" t="s">
        <v>577</v>
      </c>
      <c r="B100" s="5" t="s">
        <v>578</v>
      </c>
      <c r="C100" s="6" t="s">
        <v>579</v>
      </c>
      <c r="D100" s="6" t="s">
        <v>580</v>
      </c>
      <c r="E100" s="6" t="s">
        <v>581</v>
      </c>
      <c r="F100" s="6"/>
      <c r="G100" s="7">
        <f>IFERROR(ROUND(M100/N100*100,2),0)</f>
      </c>
      <c r="H100" s="7">
        <f>IFERROR(ROUND(O100/P100*100,2),0)</f>
      </c>
      <c r="I100" s="6" t="s">
        <v>582</v>
      </c>
      <c r="J100" s="6"/>
      <c r="K100" s="7">
        <v>4.83</v>
      </c>
      <c r="L100" s="6" t="s">
        <v>22</v>
      </c>
      <c r="M100" s="7">
        <v>7</v>
      </c>
      <c r="N100" s="7">
        <v>10</v>
      </c>
      <c r="O100" s="7">
        <v>0</v>
      </c>
      <c r="P100" s="7">
        <v>0</v>
      </c>
    </row>
    <row x14ac:dyDescent="0.25" r="101" customHeight="1" ht="36">
      <c r="A101" s="4" t="s">
        <v>583</v>
      </c>
      <c r="B101" s="5" t="s">
        <v>584</v>
      </c>
      <c r="C101" s="6" t="s">
        <v>585</v>
      </c>
      <c r="D101" s="6" t="s">
        <v>586</v>
      </c>
      <c r="E101" s="6" t="s">
        <v>587</v>
      </c>
      <c r="F101" s="6"/>
      <c r="G101" s="7">
        <f>IFERROR(ROUND(M101/N101*100,2),0)</f>
      </c>
      <c r="H101" s="7">
        <f>IFERROR(ROUND(O101/P101*100,2),0)</f>
      </c>
      <c r="I101" s="6" t="s">
        <v>588</v>
      </c>
      <c r="J101" s="6"/>
      <c r="K101" s="7">
        <v>5.3</v>
      </c>
      <c r="L101" s="6" t="s">
        <v>22</v>
      </c>
      <c r="M101" s="7">
        <v>4</v>
      </c>
      <c r="N101" s="7">
        <v>7</v>
      </c>
      <c r="O101" s="7">
        <v>0</v>
      </c>
      <c r="P101" s="7">
        <v>0</v>
      </c>
    </row>
    <row x14ac:dyDescent="0.25" r="102" customHeight="1" ht="22">
      <c r="A102" s="4" t="s">
        <v>589</v>
      </c>
      <c r="B102" s="5" t="s">
        <v>590</v>
      </c>
      <c r="C102" s="6" t="s">
        <v>591</v>
      </c>
      <c r="D102" s="6" t="s">
        <v>592</v>
      </c>
      <c r="E102" s="6" t="s">
        <v>593</v>
      </c>
      <c r="F102" s="6"/>
      <c r="G102" s="7">
        <f>IFERROR(ROUND(M102/N102*100,2),0)</f>
      </c>
      <c r="H102" s="7">
        <f>IFERROR(ROUND(O102/P102*100,2),0)</f>
      </c>
      <c r="I102" s="6"/>
      <c r="J102" s="6"/>
      <c r="K102" s="7">
        <v>3.39</v>
      </c>
      <c r="L102" s="6" t="s">
        <v>22</v>
      </c>
      <c r="M102" s="7">
        <v>5</v>
      </c>
      <c r="N102" s="7">
        <v>5</v>
      </c>
      <c r="O102" s="7">
        <v>0</v>
      </c>
      <c r="P102" s="7">
        <v>0</v>
      </c>
    </row>
    <row x14ac:dyDescent="0.25" r="103" customHeight="1" ht="22">
      <c r="A103" s="4" t="s">
        <v>594</v>
      </c>
      <c r="B103" s="5" t="s">
        <v>595</v>
      </c>
      <c r="C103" s="6" t="s">
        <v>596</v>
      </c>
      <c r="D103" s="6" t="s">
        <v>597</v>
      </c>
      <c r="E103" s="6" t="s">
        <v>598</v>
      </c>
      <c r="F103" s="6"/>
      <c r="G103" s="7">
        <f>IFERROR(ROUND(M103/N103*100,2),0)</f>
      </c>
      <c r="H103" s="7">
        <f>IFERROR(ROUND(O103/P103*100,2),0)</f>
      </c>
      <c r="I103" s="6"/>
      <c r="J103" s="6"/>
      <c r="K103" s="7">
        <v>4.17</v>
      </c>
      <c r="L103" s="6" t="s">
        <v>22</v>
      </c>
      <c r="M103" s="7">
        <v>9</v>
      </c>
      <c r="N103" s="7">
        <v>9</v>
      </c>
      <c r="O103" s="7">
        <v>0</v>
      </c>
      <c r="P103" s="7">
        <v>0</v>
      </c>
    </row>
    <row x14ac:dyDescent="0.25" r="104" customHeight="1" ht="22">
      <c r="A104" s="4" t="s">
        <v>599</v>
      </c>
      <c r="B104" s="5" t="s">
        <v>600</v>
      </c>
      <c r="C104" s="6" t="s">
        <v>601</v>
      </c>
      <c r="D104" s="6" t="s">
        <v>602</v>
      </c>
      <c r="E104" s="6" t="s">
        <v>603</v>
      </c>
      <c r="F104" s="6"/>
      <c r="G104" s="7">
        <f>IFERROR(ROUND(M104/N104*100,2),0)</f>
      </c>
      <c r="H104" s="7">
        <f>IFERROR(ROUND(O104/P104*100,2),0)</f>
      </c>
      <c r="I104" s="6"/>
      <c r="J104" s="6"/>
      <c r="K104" s="7">
        <v>4</v>
      </c>
      <c r="L104" s="6" t="s">
        <v>22</v>
      </c>
      <c r="M104" s="7">
        <v>7</v>
      </c>
      <c r="N104" s="7">
        <v>7</v>
      </c>
      <c r="O104" s="7">
        <v>0</v>
      </c>
      <c r="P104" s="7">
        <v>0</v>
      </c>
    </row>
    <row x14ac:dyDescent="0.25" r="105" customHeight="1" ht="22">
      <c r="A105" s="4" t="s">
        <v>604</v>
      </c>
      <c r="B105" s="5" t="s">
        <v>605</v>
      </c>
      <c r="C105" s="6" t="s">
        <v>606</v>
      </c>
      <c r="D105" s="6" t="s">
        <v>607</v>
      </c>
      <c r="E105" s="6" t="s">
        <v>608</v>
      </c>
      <c r="F105" s="6"/>
      <c r="G105" s="7">
        <f>IFERROR(ROUND(M105/N105*100,2),0)</f>
      </c>
      <c r="H105" s="7">
        <f>IFERROR(ROUND(O105/P105*100,2),0)</f>
      </c>
      <c r="I105" s="6" t="s">
        <v>609</v>
      </c>
      <c r="J105" s="6"/>
      <c r="K105" s="7">
        <v>6.55</v>
      </c>
      <c r="L105" s="6" t="s">
        <v>22</v>
      </c>
      <c r="M105" s="7">
        <v>5</v>
      </c>
      <c r="N105" s="7">
        <v>7</v>
      </c>
      <c r="O105" s="7">
        <v>0</v>
      </c>
      <c r="P105" s="7">
        <v>0</v>
      </c>
    </row>
    <row x14ac:dyDescent="0.25" r="106" customHeight="1" ht="22">
      <c r="A106" s="4" t="s">
        <v>610</v>
      </c>
      <c r="B106" s="5" t="s">
        <v>611</v>
      </c>
      <c r="C106" s="6" t="s">
        <v>612</v>
      </c>
      <c r="D106" s="6" t="s">
        <v>613</v>
      </c>
      <c r="E106" s="6" t="s">
        <v>614</v>
      </c>
      <c r="F106" s="6"/>
      <c r="G106" s="7">
        <f>IFERROR(ROUND(M106/N106*100,2),0)</f>
      </c>
      <c r="H106" s="7">
        <f>IFERROR(ROUND(O106/P106*100,2),0)</f>
      </c>
      <c r="I106" s="6" t="s">
        <v>615</v>
      </c>
      <c r="J106" s="6"/>
      <c r="K106" s="7">
        <v>8.09</v>
      </c>
      <c r="L106" s="6" t="s">
        <v>22</v>
      </c>
      <c r="M106" s="7">
        <v>2</v>
      </c>
      <c r="N106" s="7">
        <v>3</v>
      </c>
      <c r="O106" s="7">
        <v>0</v>
      </c>
      <c r="P106" s="7">
        <v>0</v>
      </c>
    </row>
    <row x14ac:dyDescent="0.25" r="107" customHeight="1" ht="22">
      <c r="A107" s="4" t="s">
        <v>616</v>
      </c>
      <c r="B107" s="5" t="s">
        <v>617</v>
      </c>
      <c r="C107" s="6" t="s">
        <v>618</v>
      </c>
      <c r="D107" s="6" t="s">
        <v>619</v>
      </c>
      <c r="E107" s="6" t="s">
        <v>620</v>
      </c>
      <c r="F107" s="6"/>
      <c r="G107" s="7">
        <f>IFERROR(ROUND(M107/N107*100,2),0)</f>
      </c>
      <c r="H107" s="7">
        <f>IFERROR(ROUND(O107/P107*100,2),0)</f>
      </c>
      <c r="I107" s="6" t="s">
        <v>621</v>
      </c>
      <c r="J107" s="6"/>
      <c r="K107" s="7">
        <v>3.17</v>
      </c>
      <c r="L107" s="6" t="s">
        <v>22</v>
      </c>
      <c r="M107" s="7">
        <v>6</v>
      </c>
      <c r="N107" s="7">
        <v>8</v>
      </c>
      <c r="O107" s="7">
        <v>0</v>
      </c>
      <c r="P107" s="7">
        <v>0</v>
      </c>
    </row>
    <row x14ac:dyDescent="0.25" r="108" customHeight="1" ht="22">
      <c r="A108" s="4" t="s">
        <v>622</v>
      </c>
      <c r="B108" s="5" t="s">
        <v>623</v>
      </c>
      <c r="C108" s="6" t="s">
        <v>624</v>
      </c>
      <c r="D108" s="6" t="s">
        <v>625</v>
      </c>
      <c r="E108" s="6" t="s">
        <v>626</v>
      </c>
      <c r="F108" s="6"/>
      <c r="G108" s="7">
        <f>IFERROR(ROUND(M108/N108*100,2),0)</f>
      </c>
      <c r="H108" s="7">
        <f>IFERROR(ROUND(O108/P108*100,2),0)</f>
      </c>
      <c r="I108" s="6" t="s">
        <v>627</v>
      </c>
      <c r="J108" s="6"/>
      <c r="K108" s="7">
        <v>3.02</v>
      </c>
      <c r="L108" s="6" t="s">
        <v>22</v>
      </c>
      <c r="M108" s="7">
        <v>6</v>
      </c>
      <c r="N108" s="7">
        <v>7</v>
      </c>
      <c r="O108" s="7">
        <v>0</v>
      </c>
      <c r="P108" s="7">
        <v>0</v>
      </c>
    </row>
    <row x14ac:dyDescent="0.25" r="109" customHeight="1" ht="22">
      <c r="A109" s="4" t="s">
        <v>628</v>
      </c>
      <c r="B109" s="5" t="s">
        <v>629</v>
      </c>
      <c r="C109" s="6" t="s">
        <v>630</v>
      </c>
      <c r="D109" s="6" t="s">
        <v>631</v>
      </c>
      <c r="E109" s="6" t="s">
        <v>632</v>
      </c>
      <c r="F109" s="6"/>
      <c r="G109" s="7">
        <f>IFERROR(ROUND(M109/N109*100,2),0)</f>
      </c>
      <c r="H109" s="7">
        <f>IFERROR(ROUND(O109/P109*100,2),0)</f>
      </c>
      <c r="I109" s="6" t="s">
        <v>633</v>
      </c>
      <c r="J109" s="6"/>
      <c r="K109" s="7">
        <v>2.95</v>
      </c>
      <c r="L109" s="6" t="s">
        <v>22</v>
      </c>
      <c r="M109" s="7">
        <v>3</v>
      </c>
      <c r="N109" s="7">
        <v>6</v>
      </c>
      <c r="O109" s="7">
        <v>0</v>
      </c>
      <c r="P109" s="7">
        <v>0</v>
      </c>
    </row>
    <row x14ac:dyDescent="0.25" r="110" customHeight="1" ht="22">
      <c r="A110" s="4" t="s">
        <v>634</v>
      </c>
      <c r="B110" s="5" t="s">
        <v>635</v>
      </c>
      <c r="C110" s="6" t="s">
        <v>636</v>
      </c>
      <c r="D110" s="6" t="s">
        <v>637</v>
      </c>
      <c r="E110" s="6" t="s">
        <v>638</v>
      </c>
      <c r="F110" s="6"/>
      <c r="G110" s="7">
        <f>IFERROR(ROUND(M110/N110*100,2),0)</f>
      </c>
      <c r="H110" s="7">
        <f>IFERROR(ROUND(O110/P110*100,2),0)</f>
      </c>
      <c r="I110" s="6"/>
      <c r="J110" s="6"/>
      <c r="K110" s="7">
        <v>3.24</v>
      </c>
      <c r="L110" s="6" t="s">
        <v>22</v>
      </c>
      <c r="M110" s="7">
        <v>7</v>
      </c>
      <c r="N110" s="7">
        <v>7</v>
      </c>
      <c r="O110" s="7">
        <v>0</v>
      </c>
      <c r="P110" s="7">
        <v>0</v>
      </c>
    </row>
    <row x14ac:dyDescent="0.25" r="111" customHeight="1" ht="22">
      <c r="A111" s="4" t="s">
        <v>639</v>
      </c>
      <c r="B111" s="5" t="s">
        <v>640</v>
      </c>
      <c r="C111" s="6" t="s">
        <v>641</v>
      </c>
      <c r="D111" s="6" t="s">
        <v>642</v>
      </c>
      <c r="E111" s="6" t="s">
        <v>643</v>
      </c>
      <c r="F111" s="6"/>
      <c r="G111" s="7">
        <f>IFERROR(ROUND(M111/N111*100,2),0)</f>
      </c>
      <c r="H111" s="7">
        <f>IFERROR(ROUND(O111/P111*100,2),0)</f>
      </c>
      <c r="I111" s="6" t="s">
        <v>644</v>
      </c>
      <c r="J111" s="6"/>
      <c r="K111" s="7">
        <v>2.76</v>
      </c>
      <c r="L111" s="6" t="s">
        <v>22</v>
      </c>
      <c r="M111" s="7">
        <v>2</v>
      </c>
      <c r="N111" s="7">
        <v>4</v>
      </c>
      <c r="O111" s="7">
        <v>0</v>
      </c>
      <c r="P111" s="7">
        <v>0</v>
      </c>
    </row>
    <row x14ac:dyDescent="0.25" r="112" customHeight="1" ht="22">
      <c r="A112" s="4" t="s">
        <v>645</v>
      </c>
      <c r="B112" s="5" t="s">
        <v>646</v>
      </c>
      <c r="C112" s="6" t="s">
        <v>647</v>
      </c>
      <c r="D112" s="6" t="s">
        <v>648</v>
      </c>
      <c r="E112" s="6" t="s">
        <v>648</v>
      </c>
      <c r="F112" s="6"/>
      <c r="G112" s="7">
        <f>IFERROR(ROUND(M112/N112*100,2),0)</f>
      </c>
      <c r="H112" s="7">
        <f>IFERROR(ROUND(O112/P112*100,2),0)</f>
      </c>
      <c r="I112" s="6" t="s">
        <v>649</v>
      </c>
      <c r="J112" s="6"/>
      <c r="K112" s="7">
        <v>3.31</v>
      </c>
      <c r="L112" s="6" t="s">
        <v>22</v>
      </c>
      <c r="M112" s="7">
        <v>0</v>
      </c>
      <c r="N112" s="7">
        <v>8</v>
      </c>
      <c r="O112" s="7">
        <v>0</v>
      </c>
      <c r="P112" s="7">
        <v>0</v>
      </c>
    </row>
    <row x14ac:dyDescent="0.25" r="113" customHeight="1" ht="22">
      <c r="A113" s="4" t="s">
        <v>650</v>
      </c>
      <c r="B113" s="5" t="s">
        <v>651</v>
      </c>
      <c r="C113" s="6" t="s">
        <v>652</v>
      </c>
      <c r="D113" s="6" t="s">
        <v>653</v>
      </c>
      <c r="E113" s="6" t="s">
        <v>654</v>
      </c>
      <c r="F113" s="6"/>
      <c r="G113" s="7">
        <f>IFERROR(ROUND(M113/N113*100,2),0)</f>
      </c>
      <c r="H113" s="7">
        <f>IFERROR(ROUND(O113/P113*100,2),0)</f>
      </c>
      <c r="I113" s="6" t="s">
        <v>655</v>
      </c>
      <c r="J113" s="6"/>
      <c r="K113" s="7">
        <v>3.27</v>
      </c>
      <c r="L113" s="6" t="s">
        <v>22</v>
      </c>
      <c r="M113" s="7">
        <v>5</v>
      </c>
      <c r="N113" s="7">
        <v>6</v>
      </c>
      <c r="O113" s="7">
        <v>0</v>
      </c>
      <c r="P113" s="7">
        <v>0</v>
      </c>
    </row>
    <row x14ac:dyDescent="0.25" r="114" customHeight="1" ht="22">
      <c r="A114" s="4" t="s">
        <v>656</v>
      </c>
      <c r="B114" s="5" t="s">
        <v>657</v>
      </c>
      <c r="C114" s="6" t="s">
        <v>658</v>
      </c>
      <c r="D114" s="6" t="s">
        <v>659</v>
      </c>
      <c r="E114" s="6" t="s">
        <v>658</v>
      </c>
      <c r="F114" s="6"/>
      <c r="G114" s="7">
        <f>IFERROR(ROUND(M114/N114*100,2),0)</f>
      </c>
      <c r="H114" s="7">
        <f>IFERROR(ROUND(O114/P114*100,2),0)</f>
      </c>
      <c r="I114" s="6"/>
      <c r="J114" s="6"/>
      <c r="K114" s="7">
        <v>3.11</v>
      </c>
      <c r="L114" s="6" t="s">
        <v>22</v>
      </c>
      <c r="M114" s="7">
        <v>5</v>
      </c>
      <c r="N114" s="7">
        <v>5</v>
      </c>
      <c r="O114" s="7">
        <v>0</v>
      </c>
      <c r="P114" s="7">
        <v>0</v>
      </c>
    </row>
    <row x14ac:dyDescent="0.25" r="115" customHeight="1" ht="36">
      <c r="A115" s="4" t="s">
        <v>660</v>
      </c>
      <c r="B115" s="5" t="s">
        <v>661</v>
      </c>
      <c r="C115" s="6" t="s">
        <v>662</v>
      </c>
      <c r="D115" s="6" t="s">
        <v>663</v>
      </c>
      <c r="E115" s="6" t="s">
        <v>663</v>
      </c>
      <c r="F115" s="6"/>
      <c r="G115" s="7">
        <f>IFERROR(ROUND(M115/N115*100,2),0)</f>
      </c>
      <c r="H115" s="7">
        <f>IFERROR(ROUND(O115/P115*100,2),0)</f>
      </c>
      <c r="I115" s="6" t="s">
        <v>664</v>
      </c>
      <c r="J115" s="6"/>
      <c r="K115" s="7">
        <v>3</v>
      </c>
      <c r="L115" s="6" t="s">
        <v>22</v>
      </c>
      <c r="M115" s="7">
        <v>6</v>
      </c>
      <c r="N115" s="7">
        <v>11</v>
      </c>
      <c r="O115" s="7">
        <v>0</v>
      </c>
      <c r="P115" s="7">
        <v>0</v>
      </c>
    </row>
    <row x14ac:dyDescent="0.25" r="116" customHeight="1" ht="36">
      <c r="A116" s="4" t="s">
        <v>665</v>
      </c>
      <c r="B116" s="5" t="s">
        <v>666</v>
      </c>
      <c r="C116" s="6" t="s">
        <v>667</v>
      </c>
      <c r="D116" s="6" t="s">
        <v>668</v>
      </c>
      <c r="E116" s="6" t="s">
        <v>669</v>
      </c>
      <c r="F116" s="6"/>
      <c r="G116" s="7">
        <f>IFERROR(ROUND(M116/N116*100,2),0)</f>
      </c>
      <c r="H116" s="7">
        <f>IFERROR(ROUND(O116/P116*100,2),0)</f>
      </c>
      <c r="I116" s="6" t="s">
        <v>670</v>
      </c>
      <c r="J116" s="6"/>
      <c r="K116" s="7">
        <v>3.82</v>
      </c>
      <c r="L116" s="6" t="s">
        <v>22</v>
      </c>
      <c r="M116" s="7">
        <v>6</v>
      </c>
      <c r="N116" s="7">
        <v>10</v>
      </c>
      <c r="O116" s="7">
        <v>0</v>
      </c>
      <c r="P116" s="7">
        <v>0</v>
      </c>
    </row>
    <row x14ac:dyDescent="0.25" r="117" customHeight="1" ht="22">
      <c r="A117" s="4" t="s">
        <v>671</v>
      </c>
      <c r="B117" s="5" t="s">
        <v>672</v>
      </c>
      <c r="C117" s="6" t="s">
        <v>673</v>
      </c>
      <c r="D117" s="6" t="s">
        <v>674</v>
      </c>
      <c r="E117" s="6" t="s">
        <v>675</v>
      </c>
      <c r="F117" s="6"/>
      <c r="G117" s="7">
        <f>IFERROR(ROUND(M117/N117*100,2),0)</f>
      </c>
      <c r="H117" s="7">
        <f>IFERROR(ROUND(O117/P117*100,2),0)</f>
      </c>
      <c r="I117" s="6" t="s">
        <v>676</v>
      </c>
      <c r="J117" s="6"/>
      <c r="K117" s="7">
        <v>3.13</v>
      </c>
      <c r="L117" s="6" t="s">
        <v>22</v>
      </c>
      <c r="M117" s="7">
        <v>5</v>
      </c>
      <c r="N117" s="7">
        <v>6</v>
      </c>
      <c r="O117" s="7">
        <v>0</v>
      </c>
      <c r="P117" s="7">
        <v>0</v>
      </c>
    </row>
    <row x14ac:dyDescent="0.25" r="118" customHeight="1" ht="36">
      <c r="A118" s="4" t="s">
        <v>677</v>
      </c>
      <c r="B118" s="5" t="s">
        <v>678</v>
      </c>
      <c r="C118" s="6" t="s">
        <v>679</v>
      </c>
      <c r="D118" s="6" t="s">
        <v>680</v>
      </c>
      <c r="E118" s="6" t="s">
        <v>681</v>
      </c>
      <c r="F118" s="6"/>
      <c r="G118" s="7">
        <f>IFERROR(ROUND(M118/N118*100,2),0)</f>
      </c>
      <c r="H118" s="7">
        <f>IFERROR(ROUND(O118/P118*100,2),0)</f>
      </c>
      <c r="I118" s="6" t="s">
        <v>682</v>
      </c>
      <c r="J118" s="6"/>
      <c r="K118" s="7">
        <v>3.74</v>
      </c>
      <c r="L118" s="6" t="s">
        <v>22</v>
      </c>
      <c r="M118" s="7">
        <v>9</v>
      </c>
      <c r="N118" s="7">
        <v>10</v>
      </c>
      <c r="O118" s="7">
        <v>0</v>
      </c>
      <c r="P118" s="7">
        <v>0</v>
      </c>
    </row>
    <row x14ac:dyDescent="0.25" r="119" customHeight="1" ht="22">
      <c r="A119" s="4" t="s">
        <v>683</v>
      </c>
      <c r="B119" s="5" t="s">
        <v>684</v>
      </c>
      <c r="C119" s="6" t="s">
        <v>685</v>
      </c>
      <c r="D119" s="6" t="s">
        <v>686</v>
      </c>
      <c r="E119" s="6" t="s">
        <v>687</v>
      </c>
      <c r="F119" s="6"/>
      <c r="G119" s="7">
        <f>IFERROR(ROUND(M119/N119*100,2),0)</f>
      </c>
      <c r="H119" s="7">
        <f>IFERROR(ROUND(O119/P119*100,2),0)</f>
      </c>
      <c r="I119" s="6" t="s">
        <v>688</v>
      </c>
      <c r="J119" s="6"/>
      <c r="K119" s="7">
        <v>3.21</v>
      </c>
      <c r="L119" s="6" t="s">
        <v>22</v>
      </c>
      <c r="M119" s="7">
        <v>3</v>
      </c>
      <c r="N119" s="7">
        <v>8</v>
      </c>
      <c r="O119" s="7">
        <v>0</v>
      </c>
      <c r="P119" s="7">
        <v>0</v>
      </c>
    </row>
    <row x14ac:dyDescent="0.25" r="120" customHeight="1" ht="22">
      <c r="A120" s="4" t="s">
        <v>689</v>
      </c>
      <c r="B120" s="5" t="s">
        <v>690</v>
      </c>
      <c r="C120" s="6" t="s">
        <v>691</v>
      </c>
      <c r="D120" s="6" t="s">
        <v>692</v>
      </c>
      <c r="E120" s="6" t="s">
        <v>693</v>
      </c>
      <c r="F120" s="6"/>
      <c r="G120" s="7">
        <f>IFERROR(ROUND(M120/N120*100,2),0)</f>
      </c>
      <c r="H120" s="7">
        <f>IFERROR(ROUND(O120/P120*100,2),0)</f>
      </c>
      <c r="I120" s="6" t="s">
        <v>694</v>
      </c>
      <c r="J120" s="6"/>
      <c r="K120" s="7">
        <v>3.07</v>
      </c>
      <c r="L120" s="6" t="s">
        <v>22</v>
      </c>
      <c r="M120" s="7">
        <v>4</v>
      </c>
      <c r="N120" s="7">
        <v>6</v>
      </c>
      <c r="O120" s="7">
        <v>0</v>
      </c>
      <c r="P120" s="7">
        <v>0</v>
      </c>
    </row>
    <row x14ac:dyDescent="0.25" r="121" customHeight="1" ht="22">
      <c r="A121" s="4" t="s">
        <v>695</v>
      </c>
      <c r="B121" s="5" t="s">
        <v>696</v>
      </c>
      <c r="C121" s="6" t="s">
        <v>697</v>
      </c>
      <c r="D121" s="6" t="s">
        <v>698</v>
      </c>
      <c r="E121" s="6" t="s">
        <v>699</v>
      </c>
      <c r="F121" s="6"/>
      <c r="G121" s="7">
        <f>IFERROR(ROUND(M121/N121*100,2),0)</f>
      </c>
      <c r="H121" s="7">
        <f>IFERROR(ROUND(O121/P121*100,2),0)</f>
      </c>
      <c r="I121" s="6" t="s">
        <v>700</v>
      </c>
      <c r="J121" s="6"/>
      <c r="K121" s="7">
        <v>3.25</v>
      </c>
      <c r="L121" s="6" t="s">
        <v>22</v>
      </c>
      <c r="M121" s="7">
        <v>7</v>
      </c>
      <c r="N121" s="7">
        <v>8</v>
      </c>
      <c r="O121" s="7">
        <v>0</v>
      </c>
      <c r="P121" s="7">
        <v>0</v>
      </c>
    </row>
    <row x14ac:dyDescent="0.25" r="122" customHeight="1" ht="22">
      <c r="A122" s="4" t="s">
        <v>701</v>
      </c>
      <c r="B122" s="5" t="s">
        <v>702</v>
      </c>
      <c r="C122" s="6" t="s">
        <v>703</v>
      </c>
      <c r="D122" s="6" t="s">
        <v>704</v>
      </c>
      <c r="E122" s="6" t="s">
        <v>705</v>
      </c>
      <c r="F122" s="6"/>
      <c r="G122" s="7">
        <f>IFERROR(ROUND(M122/N122*100,2),0)</f>
      </c>
      <c r="H122" s="7">
        <f>IFERROR(ROUND(O122/P122*100,2),0)</f>
      </c>
      <c r="I122" s="6" t="s">
        <v>706</v>
      </c>
      <c r="J122" s="6"/>
      <c r="K122" s="7">
        <v>2.79</v>
      </c>
      <c r="L122" s="6" t="s">
        <v>22</v>
      </c>
      <c r="M122" s="7">
        <v>3</v>
      </c>
      <c r="N122" s="7">
        <v>5</v>
      </c>
      <c r="O122" s="7">
        <v>0</v>
      </c>
      <c r="P122" s="7">
        <v>0</v>
      </c>
    </row>
    <row x14ac:dyDescent="0.25" r="123" customHeight="1" ht="36">
      <c r="A123" s="4" t="s">
        <v>707</v>
      </c>
      <c r="B123" s="5" t="s">
        <v>708</v>
      </c>
      <c r="C123" s="6" t="s">
        <v>709</v>
      </c>
      <c r="D123" s="6" t="s">
        <v>710</v>
      </c>
      <c r="E123" s="6" t="s">
        <v>711</v>
      </c>
      <c r="F123" s="6"/>
      <c r="G123" s="7">
        <f>IFERROR(ROUND(M123/N123*100,2),0)</f>
      </c>
      <c r="H123" s="7">
        <f>IFERROR(ROUND(O123/P123*100,2),0)</f>
      </c>
      <c r="I123" s="6" t="s">
        <v>712</v>
      </c>
      <c r="J123" s="6"/>
      <c r="K123" s="7">
        <v>5.21</v>
      </c>
      <c r="L123" s="6" t="s">
        <v>22</v>
      </c>
      <c r="M123" s="7">
        <v>5</v>
      </c>
      <c r="N123" s="7">
        <v>11</v>
      </c>
      <c r="O123" s="7">
        <v>0</v>
      </c>
      <c r="P123" s="7">
        <v>0</v>
      </c>
    </row>
    <row x14ac:dyDescent="0.25" r="124" customHeight="1" ht="36">
      <c r="A124" s="4" t="s">
        <v>713</v>
      </c>
      <c r="B124" s="5" t="s">
        <v>714</v>
      </c>
      <c r="C124" s="6" t="s">
        <v>715</v>
      </c>
      <c r="D124" s="6" t="s">
        <v>716</v>
      </c>
      <c r="E124" s="6" t="s">
        <v>717</v>
      </c>
      <c r="F124" s="6"/>
      <c r="G124" s="7">
        <f>IFERROR(ROUND(M124/N124*100,2),0)</f>
      </c>
      <c r="H124" s="7">
        <f>IFERROR(ROUND(O124/P124*100,2),0)</f>
      </c>
      <c r="I124" s="6" t="s">
        <v>718</v>
      </c>
      <c r="J124" s="6"/>
      <c r="K124" s="7">
        <v>3.44</v>
      </c>
      <c r="L124" s="6" t="s">
        <v>22</v>
      </c>
      <c r="M124" s="7">
        <v>6</v>
      </c>
      <c r="N124" s="7">
        <v>11</v>
      </c>
      <c r="O124" s="7">
        <v>0</v>
      </c>
      <c r="P124" s="7">
        <v>0</v>
      </c>
    </row>
    <row x14ac:dyDescent="0.25" r="125" customHeight="1" ht="22">
      <c r="A125" s="4" t="s">
        <v>719</v>
      </c>
      <c r="B125" s="5" t="s">
        <v>720</v>
      </c>
      <c r="C125" s="6" t="s">
        <v>721</v>
      </c>
      <c r="D125" s="6" t="s">
        <v>722</v>
      </c>
      <c r="E125" s="6" t="s">
        <v>723</v>
      </c>
      <c r="F125" s="6"/>
      <c r="G125" s="7">
        <f>IFERROR(ROUND(M125/N125*100,2),0)</f>
      </c>
      <c r="H125" s="7">
        <f>IFERROR(ROUND(O125/P125*100,2),0)</f>
      </c>
      <c r="I125" s="6" t="s">
        <v>724</v>
      </c>
      <c r="J125" s="6"/>
      <c r="K125" s="7">
        <v>2.97</v>
      </c>
      <c r="L125" s="6" t="s">
        <v>22</v>
      </c>
      <c r="M125" s="7">
        <v>4</v>
      </c>
      <c r="N125" s="7">
        <v>5</v>
      </c>
      <c r="O125" s="7">
        <v>0</v>
      </c>
      <c r="P125" s="7">
        <v>0</v>
      </c>
    </row>
    <row x14ac:dyDescent="0.25" r="126" customHeight="1" ht="22">
      <c r="A126" s="4" t="s">
        <v>725</v>
      </c>
      <c r="B126" s="5" t="s">
        <v>726</v>
      </c>
      <c r="C126" s="6" t="s">
        <v>727</v>
      </c>
      <c r="D126" s="6" t="s">
        <v>728</v>
      </c>
      <c r="E126" s="6" t="s">
        <v>729</v>
      </c>
      <c r="F126" s="6"/>
      <c r="G126" s="7">
        <f>IFERROR(ROUND(M126/N126*100,2),0)</f>
      </c>
      <c r="H126" s="7">
        <f>IFERROR(ROUND(O126/P126*100,2),0)</f>
      </c>
      <c r="I126" s="6"/>
      <c r="J126" s="6"/>
      <c r="K126" s="7">
        <v>2.93</v>
      </c>
      <c r="L126" s="6" t="s">
        <v>22</v>
      </c>
      <c r="M126" s="7">
        <v>4</v>
      </c>
      <c r="N126" s="7">
        <v>4</v>
      </c>
      <c r="O126" s="7">
        <v>0</v>
      </c>
      <c r="P126" s="7">
        <v>0</v>
      </c>
    </row>
    <row x14ac:dyDescent="0.25" r="127" customHeight="1" ht="22">
      <c r="A127" s="4" t="s">
        <v>730</v>
      </c>
      <c r="B127" s="5" t="s">
        <v>731</v>
      </c>
      <c r="C127" s="6" t="s">
        <v>732</v>
      </c>
      <c r="D127" s="6" t="s">
        <v>733</v>
      </c>
      <c r="E127" s="6" t="s">
        <v>734</v>
      </c>
      <c r="F127" s="6"/>
      <c r="G127" s="7">
        <f>IFERROR(ROUND(M127/N127*100,2),0)</f>
      </c>
      <c r="H127" s="7">
        <f>IFERROR(ROUND(O127/P127*100,2),0)</f>
      </c>
      <c r="I127" s="6" t="s">
        <v>735</v>
      </c>
      <c r="J127" s="6"/>
      <c r="K127" s="7">
        <v>2.93</v>
      </c>
      <c r="L127" s="6" t="s">
        <v>22</v>
      </c>
      <c r="M127" s="7">
        <v>5</v>
      </c>
      <c r="N127" s="7">
        <v>6</v>
      </c>
      <c r="O127" s="7">
        <v>0</v>
      </c>
      <c r="P127" s="7">
        <v>0</v>
      </c>
    </row>
    <row x14ac:dyDescent="0.25" r="128" customHeight="1" ht="22">
      <c r="A128" s="4" t="s">
        <v>736</v>
      </c>
      <c r="B128" s="5" t="s">
        <v>737</v>
      </c>
      <c r="C128" s="6" t="s">
        <v>738</v>
      </c>
      <c r="D128" s="6" t="s">
        <v>739</v>
      </c>
      <c r="E128" s="6" t="s">
        <v>740</v>
      </c>
      <c r="F128" s="6"/>
      <c r="G128" s="7">
        <f>IFERROR(ROUND(M128/N128*100,2),0)</f>
      </c>
      <c r="H128" s="7">
        <f>IFERROR(ROUND(O128/P128*100,2),0)</f>
      </c>
      <c r="I128" s="6" t="s">
        <v>627</v>
      </c>
      <c r="J128" s="6"/>
      <c r="K128" s="7">
        <v>2.93</v>
      </c>
      <c r="L128" s="6" t="s">
        <v>22</v>
      </c>
      <c r="M128" s="7">
        <v>4</v>
      </c>
      <c r="N128" s="7">
        <v>5</v>
      </c>
      <c r="O128" s="7">
        <v>0</v>
      </c>
      <c r="P128" s="7">
        <v>0</v>
      </c>
    </row>
    <row x14ac:dyDescent="0.25" r="129" customHeight="1" ht="36">
      <c r="A129" s="4" t="s">
        <v>741</v>
      </c>
      <c r="B129" s="5" t="s">
        <v>742</v>
      </c>
      <c r="C129" s="6" t="s">
        <v>743</v>
      </c>
      <c r="D129" s="6" t="s">
        <v>744</v>
      </c>
      <c r="E129" s="6" t="s">
        <v>745</v>
      </c>
      <c r="F129" s="6"/>
      <c r="G129" s="7">
        <f>IFERROR(ROUND(M129/N129*100,2),0)</f>
      </c>
      <c r="H129" s="7">
        <f>IFERROR(ROUND(O129/P129*100,2),0)</f>
      </c>
      <c r="I129" s="6" t="s">
        <v>746</v>
      </c>
      <c r="J129" s="6"/>
      <c r="K129" s="7">
        <v>3.63</v>
      </c>
      <c r="L129" s="6" t="s">
        <v>22</v>
      </c>
      <c r="M129" s="7">
        <v>9</v>
      </c>
      <c r="N129" s="7">
        <v>11</v>
      </c>
      <c r="O129" s="7">
        <v>0</v>
      </c>
      <c r="P129" s="7">
        <v>0</v>
      </c>
    </row>
    <row x14ac:dyDescent="0.25" r="130" customHeight="1" ht="22">
      <c r="A130" s="4" t="s">
        <v>747</v>
      </c>
      <c r="B130" s="5" t="s">
        <v>748</v>
      </c>
      <c r="C130" s="6" t="s">
        <v>749</v>
      </c>
      <c r="D130" s="6" t="s">
        <v>750</v>
      </c>
      <c r="E130" s="6" t="s">
        <v>751</v>
      </c>
      <c r="F130" s="6"/>
      <c r="G130" s="7">
        <f>IFERROR(ROUND(M130/N130*100,2),0)</f>
      </c>
      <c r="H130" s="7">
        <f>IFERROR(ROUND(O130/P130*100,2),0)</f>
      </c>
      <c r="I130" s="6" t="s">
        <v>752</v>
      </c>
      <c r="J130" s="6"/>
      <c r="K130" s="7">
        <v>3.27</v>
      </c>
      <c r="L130" s="6" t="s">
        <v>22</v>
      </c>
      <c r="M130" s="7">
        <v>6</v>
      </c>
      <c r="N130" s="7">
        <v>7</v>
      </c>
      <c r="O130" s="7">
        <v>0</v>
      </c>
      <c r="P130" s="7">
        <v>0</v>
      </c>
    </row>
    <row x14ac:dyDescent="0.25" r="131" customHeight="1" ht="22">
      <c r="A131" s="4" t="s">
        <v>753</v>
      </c>
      <c r="B131" s="5" t="s">
        <v>754</v>
      </c>
      <c r="C131" s="6" t="s">
        <v>755</v>
      </c>
      <c r="D131" s="6" t="s">
        <v>756</v>
      </c>
      <c r="E131" s="6" t="s">
        <v>757</v>
      </c>
      <c r="F131" s="6"/>
      <c r="G131" s="7">
        <f>IFERROR(ROUND(M131/N131*100,2),0)</f>
      </c>
      <c r="H131" s="7">
        <f>IFERROR(ROUND(O131/P131*100,2),0)</f>
      </c>
      <c r="I131" s="6"/>
      <c r="J131" s="6"/>
      <c r="K131" s="7">
        <v>3.37</v>
      </c>
      <c r="L131" s="6" t="s">
        <v>22</v>
      </c>
      <c r="M131" s="7">
        <v>7</v>
      </c>
      <c r="N131" s="7">
        <v>7</v>
      </c>
      <c r="O131" s="7">
        <v>0</v>
      </c>
      <c r="P131" s="7">
        <v>0</v>
      </c>
    </row>
    <row x14ac:dyDescent="0.25" r="132" customHeight="1" ht="36">
      <c r="A132" s="4" t="s">
        <v>758</v>
      </c>
      <c r="B132" s="5" t="s">
        <v>759</v>
      </c>
      <c r="C132" s="6" t="s">
        <v>760</v>
      </c>
      <c r="D132" s="6" t="s">
        <v>761</v>
      </c>
      <c r="E132" s="6" t="s">
        <v>762</v>
      </c>
      <c r="F132" s="6"/>
      <c r="G132" s="7">
        <f>IFERROR(ROUND(M132/N132*100,2),0)</f>
      </c>
      <c r="H132" s="7">
        <f>IFERROR(ROUND(O132/P132*100,2),0)</f>
      </c>
      <c r="I132" s="6" t="s">
        <v>763</v>
      </c>
      <c r="J132" s="6"/>
      <c r="K132" s="7">
        <v>3.54</v>
      </c>
      <c r="L132" s="6" t="s">
        <v>22</v>
      </c>
      <c r="M132" s="7">
        <v>8</v>
      </c>
      <c r="N132" s="7">
        <v>11</v>
      </c>
      <c r="O132" s="7">
        <v>0</v>
      </c>
      <c r="P132" s="7">
        <v>0</v>
      </c>
    </row>
    <row x14ac:dyDescent="0.25" r="133" customHeight="1" ht="36">
      <c r="A133" s="4" t="s">
        <v>764</v>
      </c>
      <c r="B133" s="5" t="s">
        <v>765</v>
      </c>
      <c r="C133" s="6" t="s">
        <v>766</v>
      </c>
      <c r="D133" s="6" t="s">
        <v>767</v>
      </c>
      <c r="E133" s="6" t="s">
        <v>768</v>
      </c>
      <c r="F133" s="6"/>
      <c r="G133" s="7">
        <f>IFERROR(ROUND(M133/N133*100,2),0)</f>
      </c>
      <c r="H133" s="7">
        <f>IFERROR(ROUND(O133/P133*100,2),0)</f>
      </c>
      <c r="I133" s="6" t="s">
        <v>700</v>
      </c>
      <c r="J133" s="6"/>
      <c r="K133" s="7">
        <v>3.94</v>
      </c>
      <c r="L133" s="6" t="s">
        <v>22</v>
      </c>
      <c r="M133" s="7">
        <v>9</v>
      </c>
      <c r="N133" s="7">
        <v>10</v>
      </c>
      <c r="O133" s="7">
        <v>0</v>
      </c>
      <c r="P133" s="7">
        <v>0</v>
      </c>
    </row>
    <row x14ac:dyDescent="0.25" r="134" customHeight="1" ht="36">
      <c r="A134" s="4" t="s">
        <v>769</v>
      </c>
      <c r="B134" s="5" t="s">
        <v>770</v>
      </c>
      <c r="C134" s="6" t="s">
        <v>771</v>
      </c>
      <c r="D134" s="6" t="s">
        <v>772</v>
      </c>
      <c r="E134" s="6" t="s">
        <v>773</v>
      </c>
      <c r="F134" s="6"/>
      <c r="G134" s="7">
        <f>IFERROR(ROUND(M134/N134*100,2),0)</f>
      </c>
      <c r="H134" s="7">
        <f>IFERROR(ROUND(O134/P134*100,2),0)</f>
      </c>
      <c r="I134" s="6" t="s">
        <v>774</v>
      </c>
      <c r="J134" s="6"/>
      <c r="K134" s="7">
        <v>3.58</v>
      </c>
      <c r="L134" s="6" t="s">
        <v>22</v>
      </c>
      <c r="M134" s="7">
        <v>7</v>
      </c>
      <c r="N134" s="7">
        <v>10</v>
      </c>
      <c r="O134" s="7">
        <v>0</v>
      </c>
      <c r="P134" s="7">
        <v>0</v>
      </c>
    </row>
    <row x14ac:dyDescent="0.25" r="135" customHeight="1" ht="22">
      <c r="A135" s="4" t="s">
        <v>775</v>
      </c>
      <c r="B135" s="5" t="s">
        <v>776</v>
      </c>
      <c r="C135" s="6" t="s">
        <v>777</v>
      </c>
      <c r="D135" s="6" t="s">
        <v>778</v>
      </c>
      <c r="E135" s="6" t="s">
        <v>779</v>
      </c>
      <c r="F135" s="6"/>
      <c r="G135" s="7">
        <f>IFERROR(ROUND(M135/N135*100,2),0)</f>
      </c>
      <c r="H135" s="7">
        <f>IFERROR(ROUND(O135/P135*100,2),0)</f>
      </c>
      <c r="I135" s="6" t="s">
        <v>780</v>
      </c>
      <c r="J135" s="6"/>
      <c r="K135" s="7">
        <v>3.58</v>
      </c>
      <c r="L135" s="6" t="s">
        <v>22</v>
      </c>
      <c r="M135" s="7">
        <v>2</v>
      </c>
      <c r="N135" s="7">
        <v>10</v>
      </c>
      <c r="O135" s="7">
        <v>0</v>
      </c>
      <c r="P135" s="7">
        <v>0</v>
      </c>
    </row>
    <row x14ac:dyDescent="0.25" r="136" customHeight="1" ht="22">
      <c r="A136" s="4" t="s">
        <v>781</v>
      </c>
      <c r="B136" s="5" t="s">
        <v>782</v>
      </c>
      <c r="C136" s="6" t="s">
        <v>783</v>
      </c>
      <c r="D136" s="6" t="s">
        <v>784</v>
      </c>
      <c r="E136" s="6" t="s">
        <v>785</v>
      </c>
      <c r="F136" s="6"/>
      <c r="G136" s="7">
        <f>IFERROR(ROUND(M136/N136*100,2),0)</f>
      </c>
      <c r="H136" s="7">
        <f>IFERROR(ROUND(O136/P136*100,2),0)</f>
      </c>
      <c r="I136" s="6" t="s">
        <v>786</v>
      </c>
      <c r="J136" s="6"/>
      <c r="K136" s="7">
        <v>3.38</v>
      </c>
      <c r="L136" s="6" t="s">
        <v>22</v>
      </c>
      <c r="M136" s="7">
        <v>6</v>
      </c>
      <c r="N136" s="7">
        <v>8</v>
      </c>
      <c r="O136" s="7">
        <v>0</v>
      </c>
      <c r="P136" s="7">
        <v>0</v>
      </c>
    </row>
    <row x14ac:dyDescent="0.25" r="137" customHeight="1" ht="36">
      <c r="A137" s="4" t="s">
        <v>787</v>
      </c>
      <c r="B137" s="5" t="s">
        <v>788</v>
      </c>
      <c r="C137" s="6" t="s">
        <v>789</v>
      </c>
      <c r="D137" s="6" t="s">
        <v>790</v>
      </c>
      <c r="E137" s="6" t="s">
        <v>791</v>
      </c>
      <c r="F137" s="6"/>
      <c r="G137" s="7">
        <f>IFERROR(ROUND(M137/N137*100,2),0)</f>
      </c>
      <c r="H137" s="7">
        <f>IFERROR(ROUND(O137/P137*100,2),0)</f>
      </c>
      <c r="I137" s="6" t="s">
        <v>792</v>
      </c>
      <c r="J137" s="6"/>
      <c r="K137" s="7">
        <v>3.99</v>
      </c>
      <c r="L137" s="6" t="s">
        <v>22</v>
      </c>
      <c r="M137" s="7">
        <v>7</v>
      </c>
      <c r="N137" s="7">
        <v>9</v>
      </c>
      <c r="O137" s="7">
        <v>0</v>
      </c>
      <c r="P137" s="7">
        <v>0</v>
      </c>
    </row>
    <row x14ac:dyDescent="0.25" r="138" customHeight="1" ht="36">
      <c r="A138" s="4" t="s">
        <v>793</v>
      </c>
      <c r="B138" s="5" t="s">
        <v>794</v>
      </c>
      <c r="C138" s="6" t="s">
        <v>795</v>
      </c>
      <c r="D138" s="6" t="s">
        <v>796</v>
      </c>
      <c r="E138" s="6" t="s">
        <v>797</v>
      </c>
      <c r="F138" s="6"/>
      <c r="G138" s="7">
        <f>IFERROR(ROUND(M138/N138*100,2),0)</f>
      </c>
      <c r="H138" s="7">
        <f>IFERROR(ROUND(O138/P138*100,2),0)</f>
      </c>
      <c r="I138" s="6" t="s">
        <v>798</v>
      </c>
      <c r="J138" s="6"/>
      <c r="K138" s="7">
        <v>3.46</v>
      </c>
      <c r="L138" s="6" t="s">
        <v>22</v>
      </c>
      <c r="M138" s="7">
        <v>8</v>
      </c>
      <c r="N138" s="7">
        <v>9</v>
      </c>
      <c r="O138" s="7">
        <v>0</v>
      </c>
      <c r="P138" s="7">
        <v>0</v>
      </c>
    </row>
    <row x14ac:dyDescent="0.25" r="139" customHeight="1" ht="36">
      <c r="A139" s="4" t="s">
        <v>799</v>
      </c>
      <c r="B139" s="5" t="s">
        <v>800</v>
      </c>
      <c r="C139" s="6" t="s">
        <v>801</v>
      </c>
      <c r="D139" s="6" t="s">
        <v>802</v>
      </c>
      <c r="E139" s="6" t="s">
        <v>803</v>
      </c>
      <c r="F139" s="6"/>
      <c r="G139" s="7">
        <f>IFERROR(ROUND(M139/N139*100,2),0)</f>
      </c>
      <c r="H139" s="7">
        <f>IFERROR(ROUND(O139/P139*100,2),0)</f>
      </c>
      <c r="I139" s="6" t="s">
        <v>804</v>
      </c>
      <c r="J139" s="6"/>
      <c r="K139" s="7">
        <v>3.66</v>
      </c>
      <c r="L139" s="6" t="s">
        <v>22</v>
      </c>
      <c r="M139" s="7">
        <v>8</v>
      </c>
      <c r="N139" s="7">
        <v>14</v>
      </c>
      <c r="O139" s="7">
        <v>0</v>
      </c>
      <c r="P139" s="7">
        <v>0</v>
      </c>
    </row>
    <row x14ac:dyDescent="0.25" r="140" customHeight="1" ht="22">
      <c r="A140" s="4" t="s">
        <v>805</v>
      </c>
      <c r="B140" s="5" t="s">
        <v>806</v>
      </c>
      <c r="C140" s="6" t="s">
        <v>807</v>
      </c>
      <c r="D140" s="6" t="s">
        <v>808</v>
      </c>
      <c r="E140" s="6" t="s">
        <v>809</v>
      </c>
      <c r="F140" s="6"/>
      <c r="G140" s="7">
        <f>IFERROR(ROUND(M140/N140*100,2),0)</f>
      </c>
      <c r="H140" s="7">
        <f>IFERROR(ROUND(O140/P140*100,2),0)</f>
      </c>
      <c r="I140" s="6"/>
      <c r="J140" s="6"/>
      <c r="K140" s="7">
        <v>3.38</v>
      </c>
      <c r="L140" s="6" t="s">
        <v>22</v>
      </c>
      <c r="M140" s="7">
        <v>4</v>
      </c>
      <c r="N140" s="7">
        <v>4</v>
      </c>
      <c r="O140" s="7">
        <v>0</v>
      </c>
      <c r="P140" s="7">
        <v>0</v>
      </c>
    </row>
    <row x14ac:dyDescent="0.25" r="141" customHeight="1" ht="36">
      <c r="A141" s="4" t="s">
        <v>810</v>
      </c>
      <c r="B141" s="5" t="s">
        <v>811</v>
      </c>
      <c r="C141" s="6" t="s">
        <v>812</v>
      </c>
      <c r="D141" s="6" t="s">
        <v>813</v>
      </c>
      <c r="E141" s="6" t="s">
        <v>814</v>
      </c>
      <c r="F141" s="6"/>
      <c r="G141" s="7">
        <f>IFERROR(ROUND(M141/N141*100,2),0)</f>
      </c>
      <c r="H141" s="7">
        <f>IFERROR(ROUND(O141/P141*100,2),0)</f>
      </c>
      <c r="I141" s="6" t="s">
        <v>815</v>
      </c>
      <c r="J141" s="6"/>
      <c r="K141" s="7">
        <v>3.96</v>
      </c>
      <c r="L141" s="6" t="s">
        <v>22</v>
      </c>
      <c r="M141" s="7">
        <v>10</v>
      </c>
      <c r="N141" s="7">
        <v>13</v>
      </c>
      <c r="O141" s="7">
        <v>0</v>
      </c>
      <c r="P141" s="7">
        <v>0</v>
      </c>
    </row>
    <row x14ac:dyDescent="0.25" r="142" customHeight="1" ht="22">
      <c r="A142" s="4" t="s">
        <v>816</v>
      </c>
      <c r="B142" s="5" t="s">
        <v>817</v>
      </c>
      <c r="C142" s="6" t="s">
        <v>818</v>
      </c>
      <c r="D142" s="6" t="s">
        <v>819</v>
      </c>
      <c r="E142" s="6" t="s">
        <v>819</v>
      </c>
      <c r="F142" s="6"/>
      <c r="G142" s="7">
        <f>IFERROR(ROUND(M142/N142*100,2),0)</f>
      </c>
      <c r="H142" s="7">
        <f>IFERROR(ROUND(O142/P142*100,2),0)</f>
      </c>
      <c r="I142" s="6" t="s">
        <v>820</v>
      </c>
      <c r="J142" s="6"/>
      <c r="K142" s="7">
        <v>2.82</v>
      </c>
      <c r="L142" s="6" t="s">
        <v>22</v>
      </c>
      <c r="M142" s="7">
        <v>0</v>
      </c>
      <c r="N142" s="7">
        <v>3</v>
      </c>
      <c r="O142" s="7">
        <v>0</v>
      </c>
      <c r="P142" s="7">
        <v>0</v>
      </c>
    </row>
    <row x14ac:dyDescent="0.25" r="143" customHeight="1" ht="22">
      <c r="A143" s="4" t="s">
        <v>821</v>
      </c>
      <c r="B143" s="5" t="s">
        <v>822</v>
      </c>
      <c r="C143" s="6" t="s">
        <v>823</v>
      </c>
      <c r="D143" s="6" t="s">
        <v>824</v>
      </c>
      <c r="E143" s="6" t="s">
        <v>825</v>
      </c>
      <c r="F143" s="6"/>
      <c r="G143" s="7">
        <f>IFERROR(ROUND(M143/N143*100,2),0)</f>
      </c>
      <c r="H143" s="7">
        <f>IFERROR(ROUND(O143/P143*100,2),0)</f>
      </c>
      <c r="I143" s="6"/>
      <c r="J143" s="6"/>
      <c r="K143" s="7">
        <v>3.2</v>
      </c>
      <c r="L143" s="6" t="s">
        <v>22</v>
      </c>
      <c r="M143" s="7">
        <v>8</v>
      </c>
      <c r="N143" s="7">
        <v>8</v>
      </c>
      <c r="O143" s="7">
        <v>0</v>
      </c>
      <c r="P143" s="7">
        <v>0</v>
      </c>
    </row>
    <row x14ac:dyDescent="0.25" r="144" customHeight="1" ht="22">
      <c r="A144" s="4" t="s">
        <v>826</v>
      </c>
      <c r="B144" s="5" t="s">
        <v>827</v>
      </c>
      <c r="C144" s="6" t="s">
        <v>828</v>
      </c>
      <c r="D144" s="6" t="s">
        <v>829</v>
      </c>
      <c r="E144" s="6" t="s">
        <v>830</v>
      </c>
      <c r="F144" s="6"/>
      <c r="G144" s="7">
        <f>IFERROR(ROUND(M144/N144*100,2),0)</f>
      </c>
      <c r="H144" s="7">
        <f>IFERROR(ROUND(O144/P144*100,2),0)</f>
      </c>
      <c r="I144" s="6" t="s">
        <v>831</v>
      </c>
      <c r="J144" s="6"/>
      <c r="K144" s="7">
        <v>3.23</v>
      </c>
      <c r="L144" s="6" t="s">
        <v>22</v>
      </c>
      <c r="M144" s="7">
        <v>6</v>
      </c>
      <c r="N144" s="7">
        <v>7</v>
      </c>
      <c r="O144" s="7">
        <v>0</v>
      </c>
      <c r="P144" s="7">
        <v>0</v>
      </c>
    </row>
    <row x14ac:dyDescent="0.25" r="145" customHeight="1" ht="36">
      <c r="A145" s="4" t="s">
        <v>832</v>
      </c>
      <c r="B145" s="5" t="s">
        <v>833</v>
      </c>
      <c r="C145" s="6" t="s">
        <v>834</v>
      </c>
      <c r="D145" s="6" t="s">
        <v>835</v>
      </c>
      <c r="E145" s="6" t="s">
        <v>836</v>
      </c>
      <c r="F145" s="6"/>
      <c r="G145" s="7">
        <f>IFERROR(ROUND(M145/N145*100,2),0)</f>
      </c>
      <c r="H145" s="7">
        <f>IFERROR(ROUND(O145/P145*100,2),0)</f>
      </c>
      <c r="I145" s="6"/>
      <c r="J145" s="6"/>
      <c r="K145" s="7">
        <v>3.88</v>
      </c>
      <c r="L145" s="6" t="s">
        <v>22</v>
      </c>
      <c r="M145" s="7">
        <v>14</v>
      </c>
      <c r="N145" s="7">
        <v>14</v>
      </c>
      <c r="O145" s="7">
        <v>0</v>
      </c>
      <c r="P145" s="7">
        <v>0</v>
      </c>
    </row>
    <row x14ac:dyDescent="0.25" r="146" customHeight="1" ht="36">
      <c r="A146" s="4" t="s">
        <v>837</v>
      </c>
      <c r="B146" s="5" t="s">
        <v>838</v>
      </c>
      <c r="C146" s="6" t="s">
        <v>839</v>
      </c>
      <c r="D146" s="6" t="s">
        <v>840</v>
      </c>
      <c r="E146" s="6" t="s">
        <v>841</v>
      </c>
      <c r="F146" s="6"/>
      <c r="G146" s="7">
        <f>IFERROR(ROUND(M146/N146*100,2),0)</f>
      </c>
      <c r="H146" s="7">
        <f>IFERROR(ROUND(O146/P146*100,2),0)</f>
      </c>
      <c r="I146" s="6" t="s">
        <v>842</v>
      </c>
      <c r="J146" s="6"/>
      <c r="K146" s="7">
        <v>3.52</v>
      </c>
      <c r="L146" s="6" t="s">
        <v>22</v>
      </c>
      <c r="M146" s="7">
        <v>7</v>
      </c>
      <c r="N146" s="7">
        <v>10</v>
      </c>
      <c r="O146" s="7">
        <v>0</v>
      </c>
      <c r="P146" s="7">
        <v>0</v>
      </c>
    </row>
    <row x14ac:dyDescent="0.25" r="147" customHeight="1" ht="22">
      <c r="A147" s="4" t="s">
        <v>843</v>
      </c>
      <c r="B147" s="5" t="s">
        <v>844</v>
      </c>
      <c r="C147" s="6" t="s">
        <v>845</v>
      </c>
      <c r="D147" s="6" t="s">
        <v>846</v>
      </c>
      <c r="E147" s="6" t="s">
        <v>847</v>
      </c>
      <c r="F147" s="6"/>
      <c r="G147" s="7">
        <f>IFERROR(ROUND(M147/N147*100,2),0)</f>
      </c>
      <c r="H147" s="7">
        <f>IFERROR(ROUND(O147/P147*100,2),0)</f>
      </c>
      <c r="I147" s="6" t="s">
        <v>848</v>
      </c>
      <c r="J147" s="6"/>
      <c r="K147" s="7">
        <v>3.21</v>
      </c>
      <c r="L147" s="6" t="s">
        <v>22</v>
      </c>
      <c r="M147" s="7">
        <v>6</v>
      </c>
      <c r="N147" s="7">
        <v>6</v>
      </c>
      <c r="O147" s="7">
        <v>0</v>
      </c>
      <c r="P147" s="7">
        <v>0</v>
      </c>
    </row>
    <row x14ac:dyDescent="0.25" r="148" customHeight="1" ht="36">
      <c r="A148" s="4" t="s">
        <v>849</v>
      </c>
      <c r="B148" s="5" t="s">
        <v>850</v>
      </c>
      <c r="C148" s="6" t="s">
        <v>851</v>
      </c>
      <c r="D148" s="6" t="s">
        <v>852</v>
      </c>
      <c r="E148" s="6" t="s">
        <v>853</v>
      </c>
      <c r="F148" s="6"/>
      <c r="G148" s="7">
        <f>IFERROR(ROUND(M148/N148*100,2),0)</f>
      </c>
      <c r="H148" s="7">
        <f>IFERROR(ROUND(O148/P148*100,2),0)</f>
      </c>
      <c r="I148" s="6" t="s">
        <v>854</v>
      </c>
      <c r="J148" s="6"/>
      <c r="K148" s="7">
        <v>4.35</v>
      </c>
      <c r="L148" s="6" t="s">
        <v>22</v>
      </c>
      <c r="M148" s="7">
        <v>9</v>
      </c>
      <c r="N148" s="7">
        <v>18</v>
      </c>
      <c r="O148" s="7">
        <v>0</v>
      </c>
      <c r="P148" s="7">
        <v>0</v>
      </c>
    </row>
    <row x14ac:dyDescent="0.25" r="149" customHeight="1" ht="22">
      <c r="A149" s="4" t="s">
        <v>855</v>
      </c>
      <c r="B149" s="5" t="s">
        <v>856</v>
      </c>
      <c r="C149" s="6" t="s">
        <v>857</v>
      </c>
      <c r="D149" s="6" t="s">
        <v>858</v>
      </c>
      <c r="E149" s="6" t="s">
        <v>859</v>
      </c>
      <c r="F149" s="6"/>
      <c r="G149" s="7">
        <f>IFERROR(ROUND(M149/N149*100,2),0)</f>
      </c>
      <c r="H149" s="7">
        <f>IFERROR(ROUND(O149/P149*100,2),0)</f>
      </c>
      <c r="I149" s="6" t="s">
        <v>860</v>
      </c>
      <c r="J149" s="6"/>
      <c r="K149" s="7">
        <v>2.92</v>
      </c>
      <c r="L149" s="6" t="s">
        <v>22</v>
      </c>
      <c r="M149" s="7">
        <v>1</v>
      </c>
      <c r="N149" s="7">
        <v>4</v>
      </c>
      <c r="O149" s="7">
        <v>0</v>
      </c>
      <c r="P149" s="7">
        <v>0</v>
      </c>
    </row>
    <row x14ac:dyDescent="0.25" r="150" customHeight="1" ht="22">
      <c r="A150" s="4" t="s">
        <v>861</v>
      </c>
      <c r="B150" s="5" t="s">
        <v>862</v>
      </c>
      <c r="C150" s="6" t="s">
        <v>863</v>
      </c>
      <c r="D150" s="6" t="s">
        <v>864</v>
      </c>
      <c r="E150" s="6" t="s">
        <v>864</v>
      </c>
      <c r="F150" s="6"/>
      <c r="G150" s="7">
        <f>IFERROR(ROUND(M150/N150*100,2),0)</f>
      </c>
      <c r="H150" s="7">
        <f>IFERROR(ROUND(O150/P150*100,2),0)</f>
      </c>
      <c r="I150" s="6" t="s">
        <v>865</v>
      </c>
      <c r="J150" s="6"/>
      <c r="K150" s="7">
        <v>3.08</v>
      </c>
      <c r="L150" s="6" t="s">
        <v>22</v>
      </c>
      <c r="M150" s="7">
        <v>0</v>
      </c>
      <c r="N150" s="7">
        <v>7</v>
      </c>
      <c r="O150" s="7">
        <v>0</v>
      </c>
      <c r="P150" s="7">
        <v>0</v>
      </c>
    </row>
    <row x14ac:dyDescent="0.25" r="151" customHeight="1" ht="36">
      <c r="A151" s="4" t="s">
        <v>866</v>
      </c>
      <c r="B151" s="5" t="s">
        <v>867</v>
      </c>
      <c r="C151" s="6" t="s">
        <v>868</v>
      </c>
      <c r="D151" s="6" t="s">
        <v>869</v>
      </c>
      <c r="E151" s="6" t="s">
        <v>870</v>
      </c>
      <c r="F151" s="6"/>
      <c r="G151" s="7">
        <f>IFERROR(ROUND(M151/N151*100,2),0)</f>
      </c>
      <c r="H151" s="7">
        <f>IFERROR(ROUND(O151/P151*100,2),0)</f>
      </c>
      <c r="I151" s="6" t="s">
        <v>871</v>
      </c>
      <c r="J151" s="6"/>
      <c r="K151" s="7">
        <v>3.35</v>
      </c>
      <c r="L151" s="6" t="s">
        <v>22</v>
      </c>
      <c r="M151" s="7">
        <v>3</v>
      </c>
      <c r="N151" s="7">
        <v>8</v>
      </c>
      <c r="O151" s="7">
        <v>0</v>
      </c>
      <c r="P151" s="7">
        <v>0</v>
      </c>
    </row>
    <row x14ac:dyDescent="0.25" r="152" customHeight="1" ht="22">
      <c r="A152" s="4" t="s">
        <v>872</v>
      </c>
      <c r="B152" s="5" t="s">
        <v>873</v>
      </c>
      <c r="C152" s="6" t="s">
        <v>874</v>
      </c>
      <c r="D152" s="6" t="s">
        <v>875</v>
      </c>
      <c r="E152" s="6" t="s">
        <v>875</v>
      </c>
      <c r="F152" s="6"/>
      <c r="G152" s="7">
        <f>IFERROR(ROUND(M152/N152*100,2),0)</f>
      </c>
      <c r="H152" s="7">
        <f>IFERROR(ROUND(O152/P152*100,2),0)</f>
      </c>
      <c r="I152" s="6" t="s">
        <v>876</v>
      </c>
      <c r="J152" s="6"/>
      <c r="K152" s="7">
        <v>2.88</v>
      </c>
      <c r="L152" s="6" t="s">
        <v>22</v>
      </c>
      <c r="M152" s="7">
        <v>0</v>
      </c>
      <c r="N152" s="7">
        <v>3</v>
      </c>
      <c r="O152" s="7">
        <v>0</v>
      </c>
      <c r="P152" s="7">
        <v>0</v>
      </c>
    </row>
    <row x14ac:dyDescent="0.25" r="153" customHeight="1" ht="36">
      <c r="A153" s="4" t="s">
        <v>877</v>
      </c>
      <c r="B153" s="5" t="s">
        <v>878</v>
      </c>
      <c r="C153" s="6" t="s">
        <v>879</v>
      </c>
      <c r="D153" s="6" t="s">
        <v>880</v>
      </c>
      <c r="E153" s="6" t="s">
        <v>880</v>
      </c>
      <c r="F153" s="6"/>
      <c r="G153" s="7">
        <f>IFERROR(ROUND(M153/N153*100,2),0)</f>
      </c>
      <c r="H153" s="7">
        <f>IFERROR(ROUND(O153/P153*100,2),0)</f>
      </c>
      <c r="I153" s="6" t="s">
        <v>881</v>
      </c>
      <c r="J153" s="6"/>
      <c r="K153" s="7">
        <v>3.41</v>
      </c>
      <c r="L153" s="6" t="s">
        <v>22</v>
      </c>
      <c r="M153" s="7">
        <v>0</v>
      </c>
      <c r="N153" s="7">
        <v>10</v>
      </c>
      <c r="O153" s="7">
        <v>0</v>
      </c>
      <c r="P153" s="7">
        <v>0</v>
      </c>
    </row>
    <row x14ac:dyDescent="0.25" r="154" customHeight="1" ht="36">
      <c r="A154" s="4" t="s">
        <v>882</v>
      </c>
      <c r="B154" s="5" t="s">
        <v>883</v>
      </c>
      <c r="C154" s="6" t="s">
        <v>884</v>
      </c>
      <c r="D154" s="6" t="s">
        <v>885</v>
      </c>
      <c r="E154" s="6" t="s">
        <v>886</v>
      </c>
      <c r="F154" s="6"/>
      <c r="G154" s="7">
        <f>IFERROR(ROUND(M154/N154*100,2),0)</f>
      </c>
      <c r="H154" s="7">
        <f>IFERROR(ROUND(O154/P154*100,2),0)</f>
      </c>
      <c r="I154" s="6" t="s">
        <v>887</v>
      </c>
      <c r="J154" s="6"/>
      <c r="K154" s="7">
        <v>3.99</v>
      </c>
      <c r="L154" s="6" t="s">
        <v>22</v>
      </c>
      <c r="M154" s="7">
        <v>12</v>
      </c>
      <c r="N154" s="7">
        <v>14</v>
      </c>
      <c r="O154" s="7">
        <v>0</v>
      </c>
      <c r="P154" s="7">
        <v>0</v>
      </c>
    </row>
    <row x14ac:dyDescent="0.25" r="155" customHeight="1" ht="22">
      <c r="A155" s="4" t="s">
        <v>888</v>
      </c>
      <c r="B155" s="5" t="s">
        <v>889</v>
      </c>
      <c r="C155" s="6" t="s">
        <v>890</v>
      </c>
      <c r="D155" s="6" t="s">
        <v>891</v>
      </c>
      <c r="E155" s="6" t="s">
        <v>892</v>
      </c>
      <c r="F155" s="6"/>
      <c r="G155" s="7">
        <f>IFERROR(ROUND(M155/N155*100,2),0)</f>
      </c>
      <c r="H155" s="7">
        <f>IFERROR(ROUND(O155/P155*100,2),0)</f>
      </c>
      <c r="I155" s="6" t="s">
        <v>893</v>
      </c>
      <c r="J155" s="6"/>
      <c r="K155" s="7">
        <v>3.9</v>
      </c>
      <c r="L155" s="6" t="s">
        <v>22</v>
      </c>
      <c r="M155" s="7">
        <v>6</v>
      </c>
      <c r="N155" s="7">
        <v>8</v>
      </c>
      <c r="O155" s="7">
        <v>0</v>
      </c>
      <c r="P155" s="7">
        <v>0</v>
      </c>
    </row>
    <row x14ac:dyDescent="0.25" r="156" customHeight="1" ht="22">
      <c r="A156" s="4" t="s">
        <v>894</v>
      </c>
      <c r="B156" s="5" t="s">
        <v>895</v>
      </c>
      <c r="C156" s="6" t="s">
        <v>896</v>
      </c>
      <c r="D156" s="6" t="s">
        <v>897</v>
      </c>
      <c r="E156" s="6" t="s">
        <v>897</v>
      </c>
      <c r="F156" s="6"/>
      <c r="G156" s="7">
        <f>IFERROR(ROUND(M156/N156*100,2),0)</f>
      </c>
      <c r="H156" s="7">
        <f>IFERROR(ROUND(O156/P156*100,2),0)</f>
      </c>
      <c r="I156" s="6" t="s">
        <v>898</v>
      </c>
      <c r="J156" s="6"/>
      <c r="K156" s="7">
        <v>2.62</v>
      </c>
      <c r="L156" s="6" t="s">
        <v>22</v>
      </c>
      <c r="M156" s="7">
        <v>0</v>
      </c>
      <c r="N156" s="7">
        <v>4</v>
      </c>
      <c r="O156" s="7">
        <v>0</v>
      </c>
      <c r="P156" s="7">
        <v>0</v>
      </c>
    </row>
    <row x14ac:dyDescent="0.25" r="157" customHeight="1" ht="22">
      <c r="A157" s="4" t="s">
        <v>899</v>
      </c>
      <c r="B157" s="5" t="s">
        <v>900</v>
      </c>
      <c r="C157" s="6" t="s">
        <v>901</v>
      </c>
      <c r="D157" s="6" t="s">
        <v>902</v>
      </c>
      <c r="E157" s="6" t="s">
        <v>903</v>
      </c>
      <c r="F157" s="6"/>
      <c r="G157" s="7">
        <f>IFERROR(ROUND(M157/N157*100,2),0)</f>
      </c>
      <c r="H157" s="7">
        <f>IFERROR(ROUND(O157/P157*100,2),0)</f>
      </c>
      <c r="I157" s="6" t="s">
        <v>904</v>
      </c>
      <c r="J157" s="6"/>
      <c r="K157" s="7">
        <v>3.29</v>
      </c>
      <c r="L157" s="6" t="s">
        <v>22</v>
      </c>
      <c r="M157" s="7">
        <v>5</v>
      </c>
      <c r="N157" s="7">
        <v>7</v>
      </c>
      <c r="O157" s="7">
        <v>0</v>
      </c>
      <c r="P157" s="7">
        <v>0</v>
      </c>
    </row>
    <row x14ac:dyDescent="0.25" r="158" customHeight="1" ht="36">
      <c r="A158" s="4" t="s">
        <v>905</v>
      </c>
      <c r="B158" s="5" t="s">
        <v>906</v>
      </c>
      <c r="C158" s="6" t="s">
        <v>907</v>
      </c>
      <c r="D158" s="6" t="s">
        <v>908</v>
      </c>
      <c r="E158" s="6" t="s">
        <v>908</v>
      </c>
      <c r="F158" s="6"/>
      <c r="G158" s="7">
        <f>IFERROR(ROUND(M158/N158*100,2),0)</f>
      </c>
      <c r="H158" s="7">
        <f>IFERROR(ROUND(O158/P158*100,2),0)</f>
      </c>
      <c r="I158" s="6" t="s">
        <v>909</v>
      </c>
      <c r="J158" s="6"/>
      <c r="K158" s="7">
        <v>3.13</v>
      </c>
      <c r="L158" s="6" t="s">
        <v>22</v>
      </c>
      <c r="M158" s="7">
        <v>2</v>
      </c>
      <c r="N158" s="7">
        <v>14</v>
      </c>
      <c r="O158" s="7">
        <v>0</v>
      </c>
      <c r="P158" s="7">
        <v>0</v>
      </c>
    </row>
    <row x14ac:dyDescent="0.25" r="159" customHeight="1" ht="22">
      <c r="A159" s="4" t="s">
        <v>910</v>
      </c>
      <c r="B159" s="5" t="s">
        <v>911</v>
      </c>
      <c r="C159" s="6" t="s">
        <v>912</v>
      </c>
      <c r="D159" s="6" t="s">
        <v>913</v>
      </c>
      <c r="E159" s="6" t="s">
        <v>913</v>
      </c>
      <c r="F159" s="6"/>
      <c r="G159" s="7">
        <f>IFERROR(ROUND(M159/N159*100,2),0)</f>
      </c>
      <c r="H159" s="7">
        <f>IFERROR(ROUND(O159/P159*100,2),0)</f>
      </c>
      <c r="I159" s="6" t="s">
        <v>914</v>
      </c>
      <c r="J159" s="6"/>
      <c r="K159" s="7">
        <v>3.05</v>
      </c>
      <c r="L159" s="6" t="s">
        <v>22</v>
      </c>
      <c r="M159" s="7">
        <v>0</v>
      </c>
      <c r="N159" s="7">
        <v>6</v>
      </c>
      <c r="O159" s="7">
        <v>0</v>
      </c>
      <c r="P159" s="7">
        <v>0</v>
      </c>
    </row>
    <row x14ac:dyDescent="0.25" r="160" customHeight="1" ht="22">
      <c r="A160" s="4" t="s">
        <v>915</v>
      </c>
      <c r="B160" s="5" t="s">
        <v>916</v>
      </c>
      <c r="C160" s="6" t="s">
        <v>917</v>
      </c>
      <c r="D160" s="6" t="s">
        <v>918</v>
      </c>
      <c r="E160" s="6" t="s">
        <v>918</v>
      </c>
      <c r="F160" s="6"/>
      <c r="G160" s="7">
        <f>IFERROR(ROUND(M160/N160*100,2),0)</f>
      </c>
      <c r="H160" s="7">
        <f>IFERROR(ROUND(O160/P160*100,2),0)</f>
      </c>
      <c r="I160" s="6" t="s">
        <v>919</v>
      </c>
      <c r="J160" s="6"/>
      <c r="K160" s="7">
        <v>2.73</v>
      </c>
      <c r="L160" s="6" t="s">
        <v>22</v>
      </c>
      <c r="M160" s="7">
        <v>0</v>
      </c>
      <c r="N160" s="7">
        <v>2</v>
      </c>
      <c r="O160" s="7">
        <v>0</v>
      </c>
      <c r="P160" s="7">
        <v>0</v>
      </c>
    </row>
    <row x14ac:dyDescent="0.25" r="161" customHeight="1" ht="22">
      <c r="A161" s="4" t="s">
        <v>920</v>
      </c>
      <c r="B161" s="5" t="s">
        <v>921</v>
      </c>
      <c r="C161" s="6" t="s">
        <v>922</v>
      </c>
      <c r="D161" s="6" t="s">
        <v>923</v>
      </c>
      <c r="E161" s="6" t="s">
        <v>924</v>
      </c>
      <c r="F161" s="6"/>
      <c r="G161" s="7">
        <f>IFERROR(ROUND(M161/N161*100,2),0)</f>
      </c>
      <c r="H161" s="7">
        <f>IFERROR(ROUND(O161/P161*100,2),0)</f>
      </c>
      <c r="I161" s="6"/>
      <c r="J161" s="6"/>
      <c r="K161" s="7">
        <v>3.03</v>
      </c>
      <c r="L161" s="6" t="s">
        <v>22</v>
      </c>
      <c r="M161" s="7">
        <v>3</v>
      </c>
      <c r="N161" s="7">
        <v>3</v>
      </c>
      <c r="O161" s="7">
        <v>0</v>
      </c>
      <c r="P161" s="7">
        <v>0</v>
      </c>
    </row>
    <row x14ac:dyDescent="0.25" r="162" customHeight="1" ht="22">
      <c r="A162" s="4" t="s">
        <v>925</v>
      </c>
      <c r="B162" s="5" t="s">
        <v>926</v>
      </c>
      <c r="C162" s="6" t="s">
        <v>927</v>
      </c>
      <c r="D162" s="6" t="s">
        <v>928</v>
      </c>
      <c r="E162" s="6" t="s">
        <v>929</v>
      </c>
      <c r="F162" s="6"/>
      <c r="G162" s="7">
        <f>IFERROR(ROUND(M162/N162*100,2),0)</f>
      </c>
      <c r="H162" s="7">
        <f>IFERROR(ROUND(O162/P162*100,2),0)</f>
      </c>
      <c r="I162" s="6"/>
      <c r="J162" s="6"/>
      <c r="K162" s="7">
        <v>3.02</v>
      </c>
      <c r="L162" s="6" t="s">
        <v>22</v>
      </c>
      <c r="M162" s="7">
        <v>4</v>
      </c>
      <c r="N162" s="7">
        <v>4</v>
      </c>
      <c r="O162" s="7">
        <v>0</v>
      </c>
      <c r="P162" s="7">
        <v>0</v>
      </c>
    </row>
    <row x14ac:dyDescent="0.25" r="163" customHeight="1" ht="22">
      <c r="A163" s="4" t="s">
        <v>930</v>
      </c>
      <c r="B163" s="5" t="s">
        <v>931</v>
      </c>
      <c r="C163" s="6" t="s">
        <v>932</v>
      </c>
      <c r="D163" s="6" t="s">
        <v>933</v>
      </c>
      <c r="E163" s="6" t="s">
        <v>934</v>
      </c>
      <c r="F163" s="6"/>
      <c r="G163" s="7">
        <f>IFERROR(ROUND(M163/N163*100,2),0)</f>
      </c>
      <c r="H163" s="7">
        <f>IFERROR(ROUND(O163/P163*100,2),0)</f>
      </c>
      <c r="I163" s="6"/>
      <c r="J163" s="6"/>
      <c r="K163" s="7">
        <v>3.36</v>
      </c>
      <c r="L163" s="6" t="s">
        <v>22</v>
      </c>
      <c r="M163" s="7">
        <v>4</v>
      </c>
      <c r="N163" s="7">
        <v>5</v>
      </c>
      <c r="O163" s="7">
        <v>0</v>
      </c>
      <c r="P163" s="7">
        <v>0</v>
      </c>
    </row>
    <row x14ac:dyDescent="0.25" r="164" customHeight="1" ht="22">
      <c r="A164" s="4" t="s">
        <v>935</v>
      </c>
      <c r="B164" s="5" t="s">
        <v>936</v>
      </c>
      <c r="C164" s="6" t="s">
        <v>937</v>
      </c>
      <c r="D164" s="6" t="s">
        <v>938</v>
      </c>
      <c r="E164" s="6" t="s">
        <v>939</v>
      </c>
      <c r="F164" s="6"/>
      <c r="G164" s="7">
        <f>IFERROR(ROUND(M164/N164*100,2),0)</f>
      </c>
      <c r="H164" s="7">
        <f>IFERROR(ROUND(O164/P164*100,2),0)</f>
      </c>
      <c r="I164" s="6"/>
      <c r="J164" s="6"/>
      <c r="K164" s="7">
        <v>3.39</v>
      </c>
      <c r="L164" s="6" t="s">
        <v>22</v>
      </c>
      <c r="M164" s="7">
        <v>7</v>
      </c>
      <c r="N164" s="7">
        <v>8</v>
      </c>
      <c r="O164" s="7">
        <v>0</v>
      </c>
      <c r="P164" s="7">
        <v>0</v>
      </c>
    </row>
    <row x14ac:dyDescent="0.25" r="165" customHeight="1" ht="22">
      <c r="A165" s="4" t="s">
        <v>940</v>
      </c>
      <c r="B165" s="5" t="s">
        <v>941</v>
      </c>
      <c r="C165" s="6" t="s">
        <v>942</v>
      </c>
      <c r="D165" s="6" t="s">
        <v>943</v>
      </c>
      <c r="E165" s="6" t="s">
        <v>944</v>
      </c>
      <c r="F165" s="6"/>
      <c r="G165" s="7">
        <f>IFERROR(ROUND(M165/N165*100,2),0)</f>
      </c>
      <c r="H165" s="7">
        <f>IFERROR(ROUND(O165/P165*100,2),0)</f>
      </c>
      <c r="I165" s="6"/>
      <c r="J165" s="6"/>
      <c r="K165" s="7">
        <v>3.19</v>
      </c>
      <c r="L165" s="6" t="s">
        <v>22</v>
      </c>
      <c r="M165" s="7">
        <v>6</v>
      </c>
      <c r="N165" s="7">
        <v>6</v>
      </c>
      <c r="O165" s="7">
        <v>0</v>
      </c>
      <c r="P165" s="7">
        <v>0</v>
      </c>
    </row>
    <row x14ac:dyDescent="0.25" r="166" customHeight="1" ht="22">
      <c r="A166" s="4" t="s">
        <v>945</v>
      </c>
      <c r="B166" s="5" t="s">
        <v>946</v>
      </c>
      <c r="C166" s="6" t="s">
        <v>947</v>
      </c>
      <c r="D166" s="6" t="s">
        <v>948</v>
      </c>
      <c r="E166" s="6" t="s">
        <v>948</v>
      </c>
      <c r="F166" s="6"/>
      <c r="G166" s="7">
        <f>IFERROR(ROUND(M166/N166*100,2),0)</f>
      </c>
      <c r="H166" s="7">
        <f>IFERROR(ROUND(O166/P166*100,2),0)</f>
      </c>
      <c r="I166" s="6" t="s">
        <v>949</v>
      </c>
      <c r="J166" s="6"/>
      <c r="K166" s="7">
        <v>2.89</v>
      </c>
      <c r="L166" s="6" t="s">
        <v>22</v>
      </c>
      <c r="M166" s="7">
        <v>0</v>
      </c>
      <c r="N166" s="7">
        <v>6</v>
      </c>
      <c r="O166" s="7">
        <v>0</v>
      </c>
      <c r="P166" s="7">
        <v>0</v>
      </c>
    </row>
    <row x14ac:dyDescent="0.25" r="167" customHeight="1" ht="22">
      <c r="A167" s="4" t="s">
        <v>950</v>
      </c>
      <c r="B167" s="5" t="s">
        <v>951</v>
      </c>
      <c r="C167" s="6" t="s">
        <v>952</v>
      </c>
      <c r="D167" s="6" t="s">
        <v>953</v>
      </c>
      <c r="E167" s="6" t="s">
        <v>954</v>
      </c>
      <c r="F167" s="6"/>
      <c r="G167" s="7">
        <f>IFERROR(ROUND(M167/N167*100,2),0)</f>
      </c>
      <c r="H167" s="7">
        <f>IFERROR(ROUND(O167/P167*100,2),0)</f>
      </c>
      <c r="I167" s="6" t="s">
        <v>955</v>
      </c>
      <c r="J167" s="6"/>
      <c r="K167" s="7">
        <v>3.55</v>
      </c>
      <c r="L167" s="6" t="s">
        <v>22</v>
      </c>
      <c r="M167" s="7">
        <v>5</v>
      </c>
      <c r="N167" s="7">
        <v>7</v>
      </c>
      <c r="O167" s="7">
        <v>0</v>
      </c>
      <c r="P167" s="7">
        <v>0</v>
      </c>
    </row>
    <row x14ac:dyDescent="0.25" r="168" customHeight="1" ht="36">
      <c r="A168" s="4" t="s">
        <v>956</v>
      </c>
      <c r="B168" s="5" t="s">
        <v>957</v>
      </c>
      <c r="C168" s="6" t="s">
        <v>958</v>
      </c>
      <c r="D168" s="6" t="s">
        <v>959</v>
      </c>
      <c r="E168" s="6" t="s">
        <v>960</v>
      </c>
      <c r="F168" s="6"/>
      <c r="G168" s="7">
        <f>IFERROR(ROUND(M168/N168*100,2),0)</f>
      </c>
      <c r="H168" s="7">
        <f>IFERROR(ROUND(O168/P168*100,2),0)</f>
      </c>
      <c r="I168" s="6" t="s">
        <v>961</v>
      </c>
      <c r="J168" s="6"/>
      <c r="K168" s="7">
        <v>3.42</v>
      </c>
      <c r="L168" s="6" t="s">
        <v>22</v>
      </c>
      <c r="M168" s="7">
        <v>4</v>
      </c>
      <c r="N168" s="7">
        <v>10</v>
      </c>
      <c r="O168" s="7">
        <v>0</v>
      </c>
      <c r="P168" s="7">
        <v>0</v>
      </c>
    </row>
    <row x14ac:dyDescent="0.25" r="169" customHeight="1" ht="36">
      <c r="A169" s="4" t="s">
        <v>962</v>
      </c>
      <c r="B169" s="5" t="s">
        <v>963</v>
      </c>
      <c r="C169" s="6" t="s">
        <v>964</v>
      </c>
      <c r="D169" s="6" t="s">
        <v>965</v>
      </c>
      <c r="E169" s="6" t="s">
        <v>966</v>
      </c>
      <c r="F169" s="6"/>
      <c r="G169" s="7">
        <f>IFERROR(ROUND(M169/N169*100,2),0)</f>
      </c>
      <c r="H169" s="7">
        <f>IFERROR(ROUND(O169/P169*100,2),0)</f>
      </c>
      <c r="I169" s="6" t="s">
        <v>967</v>
      </c>
      <c r="J169" s="6"/>
      <c r="K169" s="7">
        <v>3.57</v>
      </c>
      <c r="L169" s="6" t="s">
        <v>22</v>
      </c>
      <c r="M169" s="7">
        <v>11</v>
      </c>
      <c r="N169" s="7">
        <v>13</v>
      </c>
      <c r="O169" s="7">
        <v>0</v>
      </c>
      <c r="P169" s="7">
        <v>0</v>
      </c>
    </row>
    <row x14ac:dyDescent="0.25" r="170" customHeight="1" ht="36">
      <c r="A170" s="4" t="s">
        <v>968</v>
      </c>
      <c r="B170" s="5" t="s">
        <v>969</v>
      </c>
      <c r="C170" s="6" t="s">
        <v>970</v>
      </c>
      <c r="D170" s="6" t="s">
        <v>971</v>
      </c>
      <c r="E170" s="6" t="s">
        <v>972</v>
      </c>
      <c r="F170" s="6"/>
      <c r="G170" s="7">
        <f>IFERROR(ROUND(M170/N170*100,2),0)</f>
      </c>
      <c r="H170" s="7">
        <f>IFERROR(ROUND(O170/P170*100,2),0)</f>
      </c>
      <c r="I170" s="6" t="s">
        <v>973</v>
      </c>
      <c r="J170" s="6"/>
      <c r="K170" s="7">
        <v>3.29</v>
      </c>
      <c r="L170" s="6" t="s">
        <v>22</v>
      </c>
      <c r="M170" s="7">
        <v>6</v>
      </c>
      <c r="N170" s="7">
        <v>9</v>
      </c>
      <c r="O170" s="7">
        <v>0</v>
      </c>
      <c r="P170" s="7">
        <v>0</v>
      </c>
    </row>
    <row x14ac:dyDescent="0.25" r="171" customHeight="1" ht="22">
      <c r="A171" s="4" t="s">
        <v>974</v>
      </c>
      <c r="B171" s="5" t="s">
        <v>975</v>
      </c>
      <c r="C171" s="6" t="s">
        <v>976</v>
      </c>
      <c r="D171" s="6" t="s">
        <v>977</v>
      </c>
      <c r="E171" s="6" t="s">
        <v>978</v>
      </c>
      <c r="F171" s="6"/>
      <c r="G171" s="7">
        <f>IFERROR(ROUND(M171/N171*100,2),0)</f>
      </c>
      <c r="H171" s="7">
        <f>IFERROR(ROUND(O171/P171*100,2),0)</f>
      </c>
      <c r="I171" s="6"/>
      <c r="J171" s="6"/>
      <c r="K171" s="7">
        <v>3.32</v>
      </c>
      <c r="L171" s="6" t="s">
        <v>22</v>
      </c>
      <c r="M171" s="7">
        <v>8</v>
      </c>
      <c r="N171" s="7">
        <v>9</v>
      </c>
      <c r="O171" s="7">
        <v>0</v>
      </c>
      <c r="P171" s="7">
        <v>0</v>
      </c>
    </row>
    <row x14ac:dyDescent="0.25" r="172" customHeight="1" ht="22">
      <c r="A172" s="4" t="s">
        <v>979</v>
      </c>
      <c r="B172" s="5" t="s">
        <v>980</v>
      </c>
      <c r="C172" s="6" t="s">
        <v>981</v>
      </c>
      <c r="D172" s="6" t="s">
        <v>982</v>
      </c>
      <c r="E172" s="6" t="s">
        <v>983</v>
      </c>
      <c r="F172" s="6"/>
      <c r="G172" s="7">
        <f>IFERROR(ROUND(M172/N172*100,2),0)</f>
      </c>
      <c r="H172" s="7">
        <f>IFERROR(ROUND(O172/P172*100,2),0)</f>
      </c>
      <c r="I172" s="6" t="s">
        <v>81</v>
      </c>
      <c r="J172" s="6"/>
      <c r="K172" s="7">
        <v>2.88</v>
      </c>
      <c r="L172" s="6" t="s">
        <v>22</v>
      </c>
      <c r="M172" s="7">
        <v>2</v>
      </c>
      <c r="N172" s="7">
        <v>3</v>
      </c>
      <c r="O172" s="7">
        <v>0</v>
      </c>
      <c r="P172" s="7">
        <v>0</v>
      </c>
    </row>
    <row x14ac:dyDescent="0.25" r="173" customHeight="1" ht="22">
      <c r="A173" s="4" t="s">
        <v>984</v>
      </c>
      <c r="B173" s="5" t="s">
        <v>985</v>
      </c>
      <c r="C173" s="6" t="s">
        <v>986</v>
      </c>
      <c r="D173" s="6" t="s">
        <v>987</v>
      </c>
      <c r="E173" s="6" t="s">
        <v>988</v>
      </c>
      <c r="F173" s="6"/>
      <c r="G173" s="7">
        <f>IFERROR(ROUND(M173/N173*100,2),0)</f>
      </c>
      <c r="H173" s="7">
        <f>IFERROR(ROUND(O173/P173*100,2),0)</f>
      </c>
      <c r="I173" s="6" t="s">
        <v>989</v>
      </c>
      <c r="J173" s="6"/>
      <c r="K173" s="7">
        <v>3.15</v>
      </c>
      <c r="L173" s="6" t="s">
        <v>22</v>
      </c>
      <c r="M173" s="7">
        <v>2</v>
      </c>
      <c r="N173" s="7">
        <v>4</v>
      </c>
      <c r="O173" s="7">
        <v>0</v>
      </c>
      <c r="P173" s="7">
        <v>0</v>
      </c>
    </row>
    <row x14ac:dyDescent="0.25" r="174" customHeight="1" ht="22">
      <c r="A174" s="4" t="s">
        <v>990</v>
      </c>
      <c r="B174" s="5" t="s">
        <v>991</v>
      </c>
      <c r="C174" s="6" t="s">
        <v>992</v>
      </c>
      <c r="D174" s="6" t="s">
        <v>993</v>
      </c>
      <c r="E174" s="6" t="s">
        <v>994</v>
      </c>
      <c r="F174" s="6"/>
      <c r="G174" s="7">
        <f>IFERROR(ROUND(M174/N174*100,2),0)</f>
      </c>
      <c r="H174" s="7">
        <f>IFERROR(ROUND(O174/P174*100,2),0)</f>
      </c>
      <c r="I174" s="6" t="s">
        <v>995</v>
      </c>
      <c r="J174" s="6"/>
      <c r="K174" s="7">
        <v>3.17</v>
      </c>
      <c r="L174" s="6" t="s">
        <v>22</v>
      </c>
      <c r="M174" s="7">
        <v>3</v>
      </c>
      <c r="N174" s="7">
        <v>8</v>
      </c>
      <c r="O174" s="7">
        <v>0</v>
      </c>
      <c r="P174" s="7">
        <v>0</v>
      </c>
    </row>
    <row x14ac:dyDescent="0.25" r="175" customHeight="1" ht="22">
      <c r="A175" s="4" t="s">
        <v>996</v>
      </c>
      <c r="B175" s="5" t="s">
        <v>997</v>
      </c>
      <c r="C175" s="6" t="s">
        <v>998</v>
      </c>
      <c r="D175" s="6" t="s">
        <v>999</v>
      </c>
      <c r="E175" s="6" t="s">
        <v>1000</v>
      </c>
      <c r="F175" s="6"/>
      <c r="G175" s="7">
        <f>IFERROR(ROUND(M175/N175*100,2),0)</f>
      </c>
      <c r="H175" s="7">
        <f>IFERROR(ROUND(O175/P175*100,2),0)</f>
      </c>
      <c r="I175" s="6" t="s">
        <v>1001</v>
      </c>
      <c r="J175" s="6"/>
      <c r="K175" s="7">
        <v>3.58</v>
      </c>
      <c r="L175" s="6" t="s">
        <v>22</v>
      </c>
      <c r="M175" s="7">
        <v>5</v>
      </c>
      <c r="N175" s="7">
        <v>8</v>
      </c>
      <c r="O175" s="7">
        <v>0</v>
      </c>
      <c r="P175" s="7">
        <v>0</v>
      </c>
    </row>
    <row x14ac:dyDescent="0.25" r="176" customHeight="1" ht="22">
      <c r="A176" s="4" t="s">
        <v>1002</v>
      </c>
      <c r="B176" s="5" t="s">
        <v>1003</v>
      </c>
      <c r="C176" s="6" t="s">
        <v>1004</v>
      </c>
      <c r="D176" s="6" t="s">
        <v>1005</v>
      </c>
      <c r="E176" s="6" t="s">
        <v>1006</v>
      </c>
      <c r="F176" s="6"/>
      <c r="G176" s="7">
        <f>IFERROR(ROUND(M176/N176*100,2),0)</f>
      </c>
      <c r="H176" s="7">
        <f>IFERROR(ROUND(O176/P176*100,2),0)</f>
      </c>
      <c r="I176" s="6" t="s">
        <v>1007</v>
      </c>
      <c r="J176" s="6"/>
      <c r="K176" s="7">
        <v>3.38</v>
      </c>
      <c r="L176" s="6" t="s">
        <v>22</v>
      </c>
      <c r="M176" s="7">
        <v>3</v>
      </c>
      <c r="N176" s="7">
        <v>5</v>
      </c>
      <c r="O176" s="7">
        <v>0</v>
      </c>
      <c r="P176" s="7">
        <v>0</v>
      </c>
    </row>
    <row x14ac:dyDescent="0.25" r="177" customHeight="1" ht="36">
      <c r="A177" s="4" t="s">
        <v>1008</v>
      </c>
      <c r="B177" s="5" t="s">
        <v>1009</v>
      </c>
      <c r="C177" s="6" t="s">
        <v>1010</v>
      </c>
      <c r="D177" s="6" t="s">
        <v>1011</v>
      </c>
      <c r="E177" s="6" t="s">
        <v>1012</v>
      </c>
      <c r="F177" s="6"/>
      <c r="G177" s="7">
        <f>IFERROR(ROUND(M177/N177*100,2),0)</f>
      </c>
      <c r="H177" s="7">
        <f>IFERROR(ROUND(O177/P177*100,2),0)</f>
      </c>
      <c r="I177" s="6" t="s">
        <v>1013</v>
      </c>
      <c r="J177" s="6"/>
      <c r="K177" s="7">
        <v>3.89</v>
      </c>
      <c r="L177" s="6" t="s">
        <v>22</v>
      </c>
      <c r="M177" s="7">
        <v>8</v>
      </c>
      <c r="N177" s="7">
        <v>11</v>
      </c>
      <c r="O177" s="7">
        <v>0</v>
      </c>
      <c r="P177" s="7">
        <v>0</v>
      </c>
    </row>
    <row x14ac:dyDescent="0.25" r="178" customHeight="1" ht="22">
      <c r="A178" s="4" t="s">
        <v>1014</v>
      </c>
      <c r="B178" s="5" t="s">
        <v>1015</v>
      </c>
      <c r="C178" s="6" t="s">
        <v>1016</v>
      </c>
      <c r="D178" s="6" t="s">
        <v>1017</v>
      </c>
      <c r="E178" s="6" t="s">
        <v>1018</v>
      </c>
      <c r="F178" s="6"/>
      <c r="G178" s="7">
        <f>IFERROR(ROUND(M178/N178*100,2),0)</f>
      </c>
      <c r="H178" s="7">
        <f>IFERROR(ROUND(O178/P178*100,2),0)</f>
      </c>
      <c r="I178" s="6" t="s">
        <v>1019</v>
      </c>
      <c r="J178" s="6"/>
      <c r="K178" s="7">
        <v>3.35</v>
      </c>
      <c r="L178" s="6" t="s">
        <v>22</v>
      </c>
      <c r="M178" s="7">
        <v>3</v>
      </c>
      <c r="N178" s="7">
        <v>5</v>
      </c>
      <c r="O178" s="7">
        <v>0</v>
      </c>
      <c r="P178" s="7">
        <v>0</v>
      </c>
    </row>
    <row x14ac:dyDescent="0.25" r="179" customHeight="1" ht="54">
      <c r="A179" s="4" t="s">
        <v>1020</v>
      </c>
      <c r="B179" s="5" t="s">
        <v>1021</v>
      </c>
      <c r="C179" s="6" t="s">
        <v>1022</v>
      </c>
      <c r="D179" s="6" t="s">
        <v>1023</v>
      </c>
      <c r="E179" s="6" t="s">
        <v>1024</v>
      </c>
      <c r="F179" s="6"/>
      <c r="G179" s="7">
        <f>IFERROR(ROUND(M179/N179*100,2),0)</f>
      </c>
      <c r="H179" s="7">
        <f>IFERROR(ROUND(O179/P179*100,2),0)</f>
      </c>
      <c r="I179" s="6" t="s">
        <v>1025</v>
      </c>
      <c r="J179" s="6"/>
      <c r="K179" s="7">
        <v>4.32</v>
      </c>
      <c r="L179" s="6" t="s">
        <v>22</v>
      </c>
      <c r="M179" s="7">
        <v>6</v>
      </c>
      <c r="N179" s="7">
        <v>13</v>
      </c>
      <c r="O179" s="7">
        <v>0</v>
      </c>
      <c r="P179" s="7">
        <v>0</v>
      </c>
    </row>
    <row x14ac:dyDescent="0.25" r="180" customHeight="1" ht="22">
      <c r="A180" s="4" t="s">
        <v>1026</v>
      </c>
      <c r="B180" s="5" t="s">
        <v>1027</v>
      </c>
      <c r="C180" s="6" t="s">
        <v>1028</v>
      </c>
      <c r="D180" s="6" t="s">
        <v>1029</v>
      </c>
      <c r="E180" s="6" t="s">
        <v>1030</v>
      </c>
      <c r="F180" s="6"/>
      <c r="G180" s="7">
        <f>IFERROR(ROUND(M180/N180*100,2),0)</f>
      </c>
      <c r="H180" s="7">
        <f>IFERROR(ROUND(O180/P180*100,2),0)</f>
      </c>
      <c r="I180" s="6"/>
      <c r="J180" s="6"/>
      <c r="K180" s="7">
        <v>3.07</v>
      </c>
      <c r="L180" s="6" t="s">
        <v>22</v>
      </c>
      <c r="M180" s="7">
        <v>3</v>
      </c>
      <c r="N180" s="7">
        <v>3</v>
      </c>
      <c r="O180" s="7">
        <v>0</v>
      </c>
      <c r="P180" s="7">
        <v>0</v>
      </c>
    </row>
    <row x14ac:dyDescent="0.25" r="181" customHeight="1" ht="22">
      <c r="A181" s="4" t="s">
        <v>1031</v>
      </c>
      <c r="B181" s="5" t="s">
        <v>1032</v>
      </c>
      <c r="C181" s="6" t="s">
        <v>1033</v>
      </c>
      <c r="D181" s="6" t="s">
        <v>1034</v>
      </c>
      <c r="E181" s="6" t="s">
        <v>1035</v>
      </c>
      <c r="F181" s="6"/>
      <c r="G181" s="7">
        <f>IFERROR(ROUND(M181/N181*100,2),0)</f>
      </c>
      <c r="H181" s="7">
        <f>IFERROR(ROUND(O181/P181*100,2),0)</f>
      </c>
      <c r="I181" s="6" t="s">
        <v>1036</v>
      </c>
      <c r="J181" s="6"/>
      <c r="K181" s="7">
        <v>2.89</v>
      </c>
      <c r="L181" s="6" t="s">
        <v>22</v>
      </c>
      <c r="M181" s="7">
        <v>1</v>
      </c>
      <c r="N181" s="7">
        <v>3</v>
      </c>
      <c r="O181" s="7">
        <v>0</v>
      </c>
      <c r="P181" s="7">
        <v>0</v>
      </c>
    </row>
    <row x14ac:dyDescent="0.25" r="182" customHeight="1" ht="22">
      <c r="A182" s="4" t="s">
        <v>1037</v>
      </c>
      <c r="B182" s="5" t="s">
        <v>1038</v>
      </c>
      <c r="C182" s="6" t="s">
        <v>1039</v>
      </c>
      <c r="D182" s="6" t="s">
        <v>1040</v>
      </c>
      <c r="E182" s="6" t="s">
        <v>1041</v>
      </c>
      <c r="F182" s="6"/>
      <c r="G182" s="7">
        <f>IFERROR(ROUND(M182/N182*100,2),0)</f>
      </c>
      <c r="H182" s="7">
        <f>IFERROR(ROUND(O182/P182*100,2),0)</f>
      </c>
      <c r="I182" s="6" t="s">
        <v>1042</v>
      </c>
      <c r="J182" s="6"/>
      <c r="K182" s="7">
        <v>3.21</v>
      </c>
      <c r="L182" s="6" t="s">
        <v>22</v>
      </c>
      <c r="M182" s="7">
        <v>6</v>
      </c>
      <c r="N182" s="7">
        <v>7</v>
      </c>
      <c r="O182" s="7">
        <v>0</v>
      </c>
      <c r="P182" s="7">
        <v>0</v>
      </c>
    </row>
    <row x14ac:dyDescent="0.25" r="183" customHeight="1" ht="54">
      <c r="A183" s="4" t="s">
        <v>1043</v>
      </c>
      <c r="B183" s="5" t="s">
        <v>1044</v>
      </c>
      <c r="C183" s="6" t="s">
        <v>1045</v>
      </c>
      <c r="D183" s="6" t="s">
        <v>1046</v>
      </c>
      <c r="E183" s="6" t="s">
        <v>1047</v>
      </c>
      <c r="F183" s="6"/>
      <c r="G183" s="7">
        <f>IFERROR(ROUND(M183/N183*100,2),0)</f>
      </c>
      <c r="H183" s="7">
        <f>IFERROR(ROUND(O183/P183*100,2),0)</f>
      </c>
      <c r="I183" s="6" t="s">
        <v>1048</v>
      </c>
      <c r="J183" s="6"/>
      <c r="K183" s="7">
        <v>4.43</v>
      </c>
      <c r="L183" s="6" t="s">
        <v>22</v>
      </c>
      <c r="M183" s="7">
        <v>11</v>
      </c>
      <c r="N183" s="7">
        <v>19</v>
      </c>
      <c r="O183" s="7">
        <v>0</v>
      </c>
      <c r="P183" s="7">
        <v>0</v>
      </c>
    </row>
    <row x14ac:dyDescent="0.25" r="184" customHeight="1" ht="22">
      <c r="A184" s="4" t="s">
        <v>1049</v>
      </c>
      <c r="B184" s="5" t="s">
        <v>1050</v>
      </c>
      <c r="C184" s="6" t="s">
        <v>1051</v>
      </c>
      <c r="D184" s="6" t="s">
        <v>1052</v>
      </c>
      <c r="E184" s="6" t="s">
        <v>1053</v>
      </c>
      <c r="F184" s="6"/>
      <c r="G184" s="7">
        <f>IFERROR(ROUND(M184/N184*100,2),0)</f>
      </c>
      <c r="H184" s="7">
        <f>IFERROR(ROUND(O184/P184*100,2),0)</f>
      </c>
      <c r="I184" s="6"/>
      <c r="J184" s="6"/>
      <c r="K184" s="7">
        <v>2.81</v>
      </c>
      <c r="L184" s="6" t="s">
        <v>22</v>
      </c>
      <c r="M184" s="7">
        <v>4</v>
      </c>
      <c r="N184" s="7">
        <v>4</v>
      </c>
      <c r="O184" s="7">
        <v>0</v>
      </c>
      <c r="P184" s="7">
        <v>0</v>
      </c>
    </row>
    <row x14ac:dyDescent="0.25" r="185" customHeight="1" ht="22">
      <c r="A185" s="4" t="s">
        <v>1054</v>
      </c>
      <c r="B185" s="5" t="s">
        <v>1055</v>
      </c>
      <c r="C185" s="6" t="s">
        <v>1056</v>
      </c>
      <c r="D185" s="6" t="s">
        <v>1057</v>
      </c>
      <c r="E185" s="6" t="s">
        <v>1058</v>
      </c>
      <c r="F185" s="6"/>
      <c r="G185" s="7">
        <f>IFERROR(ROUND(M185/N185*100,2),0)</f>
      </c>
      <c r="H185" s="7">
        <f>IFERROR(ROUND(O185/P185*100,2),0)</f>
      </c>
      <c r="I185" s="6"/>
      <c r="J185" s="6"/>
      <c r="K185" s="7">
        <v>4.08</v>
      </c>
      <c r="L185" s="6" t="s">
        <v>22</v>
      </c>
      <c r="M185" s="7">
        <v>5</v>
      </c>
      <c r="N185" s="7">
        <v>5</v>
      </c>
      <c r="O185" s="7">
        <v>0</v>
      </c>
      <c r="P185" s="7">
        <v>0</v>
      </c>
    </row>
    <row x14ac:dyDescent="0.25" r="186" customHeight="1" ht="36">
      <c r="A186" s="4" t="s">
        <v>1059</v>
      </c>
      <c r="B186" s="5" t="s">
        <v>1060</v>
      </c>
      <c r="C186" s="6" t="s">
        <v>1061</v>
      </c>
      <c r="D186" s="6" t="s">
        <v>1062</v>
      </c>
      <c r="E186" s="6" t="s">
        <v>1063</v>
      </c>
      <c r="F186" s="6"/>
      <c r="G186" s="7">
        <f>IFERROR(ROUND(M186/N186*100,2),0)</f>
      </c>
      <c r="H186" s="7">
        <f>IFERROR(ROUND(O186/P186*100,2),0)</f>
      </c>
      <c r="I186" s="6" t="s">
        <v>1064</v>
      </c>
      <c r="J186" s="6"/>
      <c r="K186" s="7">
        <v>3.9</v>
      </c>
      <c r="L186" s="6" t="s">
        <v>22</v>
      </c>
      <c r="M186" s="7">
        <v>12</v>
      </c>
      <c r="N186" s="7">
        <v>15</v>
      </c>
      <c r="O186" s="7">
        <v>0</v>
      </c>
      <c r="P186" s="7">
        <v>0</v>
      </c>
    </row>
    <row x14ac:dyDescent="0.25" r="187" customHeight="1" ht="36">
      <c r="A187" s="4" t="s">
        <v>1065</v>
      </c>
      <c r="B187" s="5" t="s">
        <v>1066</v>
      </c>
      <c r="C187" s="6" t="s">
        <v>1067</v>
      </c>
      <c r="D187" s="6" t="s">
        <v>1068</v>
      </c>
      <c r="E187" s="6" t="s">
        <v>1069</v>
      </c>
      <c r="F187" s="6"/>
      <c r="G187" s="7">
        <f>IFERROR(ROUND(M187/N187*100,2),0)</f>
      </c>
      <c r="H187" s="7">
        <f>IFERROR(ROUND(O187/P187*100,2),0)</f>
      </c>
      <c r="I187" s="6" t="s">
        <v>1070</v>
      </c>
      <c r="J187" s="6"/>
      <c r="K187" s="7">
        <v>4.01</v>
      </c>
      <c r="L187" s="6" t="s">
        <v>22</v>
      </c>
      <c r="M187" s="7">
        <v>13</v>
      </c>
      <c r="N187" s="7">
        <v>14</v>
      </c>
      <c r="O187" s="7">
        <v>0</v>
      </c>
      <c r="P187" s="7">
        <v>0</v>
      </c>
    </row>
    <row x14ac:dyDescent="0.25" r="188" customHeight="1" ht="22">
      <c r="A188" s="4" t="s">
        <v>1071</v>
      </c>
      <c r="B188" s="5" t="s">
        <v>1072</v>
      </c>
      <c r="C188" s="6" t="s">
        <v>1073</v>
      </c>
      <c r="D188" s="6" t="s">
        <v>1074</v>
      </c>
      <c r="E188" s="6" t="s">
        <v>1075</v>
      </c>
      <c r="F188" s="6"/>
      <c r="G188" s="7">
        <f>IFERROR(ROUND(M188/N188*100,2),0)</f>
      </c>
      <c r="H188" s="7">
        <f>IFERROR(ROUND(O188/P188*100,2),0)</f>
      </c>
      <c r="I188" s="6" t="s">
        <v>1076</v>
      </c>
      <c r="J188" s="6"/>
      <c r="K188" s="7">
        <v>3</v>
      </c>
      <c r="L188" s="6" t="s">
        <v>22</v>
      </c>
      <c r="M188" s="7">
        <v>3</v>
      </c>
      <c r="N188" s="7">
        <v>4</v>
      </c>
      <c r="O188" s="7">
        <v>0</v>
      </c>
      <c r="P188" s="7">
        <v>0</v>
      </c>
    </row>
    <row x14ac:dyDescent="0.25" r="189" customHeight="1" ht="36">
      <c r="A189" s="4" t="s">
        <v>1077</v>
      </c>
      <c r="B189" s="5" t="s">
        <v>1078</v>
      </c>
      <c r="C189" s="6" t="s">
        <v>1079</v>
      </c>
      <c r="D189" s="6" t="s">
        <v>1080</v>
      </c>
      <c r="E189" s="6" t="s">
        <v>1081</v>
      </c>
      <c r="F189" s="6"/>
      <c r="G189" s="7">
        <f>IFERROR(ROUND(M189/N189*100,2),0)</f>
      </c>
      <c r="H189" s="7">
        <f>IFERROR(ROUND(O189/P189*100,2),0)</f>
      </c>
      <c r="I189" s="6" t="s">
        <v>1082</v>
      </c>
      <c r="J189" s="6"/>
      <c r="K189" s="7">
        <v>3.73</v>
      </c>
      <c r="L189" s="6" t="s">
        <v>22</v>
      </c>
      <c r="M189" s="7">
        <v>7</v>
      </c>
      <c r="N189" s="7">
        <v>10</v>
      </c>
      <c r="O189" s="7">
        <v>0</v>
      </c>
      <c r="P189" s="7">
        <v>0</v>
      </c>
    </row>
    <row x14ac:dyDescent="0.25" r="190" customHeight="1" ht="36">
      <c r="A190" s="4" t="s">
        <v>1083</v>
      </c>
      <c r="B190" s="5" t="s">
        <v>1084</v>
      </c>
      <c r="C190" s="6" t="s">
        <v>1085</v>
      </c>
      <c r="D190" s="6" t="s">
        <v>1086</v>
      </c>
      <c r="E190" s="6" t="s">
        <v>1087</v>
      </c>
      <c r="F190" s="6"/>
      <c r="G190" s="7">
        <f>IFERROR(ROUND(M190/N190*100,2),0)</f>
      </c>
      <c r="H190" s="7">
        <f>IFERROR(ROUND(O190/P190*100,2),0)</f>
      </c>
      <c r="I190" s="6" t="s">
        <v>1088</v>
      </c>
      <c r="J190" s="6"/>
      <c r="K190" s="7">
        <v>3.54</v>
      </c>
      <c r="L190" s="6" t="s">
        <v>22</v>
      </c>
      <c r="M190" s="7">
        <v>6</v>
      </c>
      <c r="N190" s="7">
        <v>9</v>
      </c>
      <c r="O190" s="7">
        <v>0</v>
      </c>
      <c r="P190" s="7">
        <v>0</v>
      </c>
    </row>
    <row x14ac:dyDescent="0.25" r="191" customHeight="1" ht="22">
      <c r="A191" s="4" t="s">
        <v>1089</v>
      </c>
      <c r="B191" s="5" t="s">
        <v>1090</v>
      </c>
      <c r="C191" s="6" t="s">
        <v>1091</v>
      </c>
      <c r="D191" s="6" t="s">
        <v>1092</v>
      </c>
      <c r="E191" s="6" t="s">
        <v>1093</v>
      </c>
      <c r="F191" s="6"/>
      <c r="G191" s="7">
        <f>IFERROR(ROUND(M191/N191*100,2),0)</f>
      </c>
      <c r="H191" s="7">
        <f>IFERROR(ROUND(O191/P191*100,2),0)</f>
      </c>
      <c r="I191" s="6"/>
      <c r="J191" s="6"/>
      <c r="K191" s="7">
        <v>2.85</v>
      </c>
      <c r="L191" s="6" t="s">
        <v>22</v>
      </c>
      <c r="M191" s="7">
        <v>4</v>
      </c>
      <c r="N191" s="7">
        <v>4</v>
      </c>
      <c r="O191" s="7">
        <v>0</v>
      </c>
      <c r="P191" s="7">
        <v>0</v>
      </c>
    </row>
    <row x14ac:dyDescent="0.25" r="192" customHeight="1" ht="22">
      <c r="A192" s="4" t="s">
        <v>1094</v>
      </c>
      <c r="B192" s="5" t="s">
        <v>1095</v>
      </c>
      <c r="C192" s="6" t="s">
        <v>1096</v>
      </c>
      <c r="D192" s="6" t="s">
        <v>1097</v>
      </c>
      <c r="E192" s="6" t="s">
        <v>1098</v>
      </c>
      <c r="F192" s="6"/>
      <c r="G192" s="7">
        <f>IFERROR(ROUND(M192/N192*100,2),0)</f>
      </c>
      <c r="H192" s="7">
        <f>IFERROR(ROUND(O192/P192*100,2),0)</f>
      </c>
      <c r="I192" s="6" t="s">
        <v>1099</v>
      </c>
      <c r="J192" s="6"/>
      <c r="K192" s="7">
        <v>3.1</v>
      </c>
      <c r="L192" s="6" t="s">
        <v>22</v>
      </c>
      <c r="M192" s="7">
        <v>5</v>
      </c>
      <c r="N192" s="7">
        <v>7</v>
      </c>
      <c r="O192" s="7">
        <v>0</v>
      </c>
      <c r="P192" s="7">
        <v>0</v>
      </c>
    </row>
    <row x14ac:dyDescent="0.25" r="193" customHeight="1" ht="22">
      <c r="A193" s="4" t="s">
        <v>1100</v>
      </c>
      <c r="B193" s="5" t="s">
        <v>1101</v>
      </c>
      <c r="C193" s="6" t="s">
        <v>1102</v>
      </c>
      <c r="D193" s="6" t="s">
        <v>1103</v>
      </c>
      <c r="E193" s="6" t="s">
        <v>1104</v>
      </c>
      <c r="F193" s="6"/>
      <c r="G193" s="7">
        <f>IFERROR(ROUND(M193/N193*100,2),0)</f>
      </c>
      <c r="H193" s="7">
        <f>IFERROR(ROUND(O193/P193*100,2),0)</f>
      </c>
      <c r="I193" s="6"/>
      <c r="J193" s="6"/>
      <c r="K193" s="7">
        <v>3.22</v>
      </c>
      <c r="L193" s="6" t="s">
        <v>22</v>
      </c>
      <c r="M193" s="7">
        <v>4</v>
      </c>
      <c r="N193" s="7">
        <v>4</v>
      </c>
      <c r="O193" s="7">
        <v>0</v>
      </c>
      <c r="P193" s="7">
        <v>0</v>
      </c>
    </row>
    <row x14ac:dyDescent="0.25" r="194" customHeight="1" ht="22">
      <c r="A194" s="4" t="s">
        <v>1105</v>
      </c>
      <c r="B194" s="5" t="s">
        <v>1106</v>
      </c>
      <c r="C194" s="6" t="s">
        <v>1107</v>
      </c>
      <c r="D194" s="6" t="s">
        <v>1108</v>
      </c>
      <c r="E194" s="6" t="s">
        <v>1109</v>
      </c>
      <c r="F194" s="6"/>
      <c r="G194" s="7">
        <f>IFERROR(ROUND(M194/N194*100,2),0)</f>
      </c>
      <c r="H194" s="7">
        <f>IFERROR(ROUND(O194/P194*100,2),0)</f>
      </c>
      <c r="I194" s="6" t="s">
        <v>1110</v>
      </c>
      <c r="J194" s="6"/>
      <c r="K194" s="7">
        <v>3.31</v>
      </c>
      <c r="L194" s="6" t="s">
        <v>22</v>
      </c>
      <c r="M194" s="7">
        <v>3</v>
      </c>
      <c r="N194" s="7">
        <v>7</v>
      </c>
      <c r="O194" s="7">
        <v>0</v>
      </c>
      <c r="P194" s="7">
        <v>0</v>
      </c>
    </row>
    <row x14ac:dyDescent="0.25" r="195" customHeight="1" ht="22">
      <c r="A195" s="4" t="s">
        <v>1111</v>
      </c>
      <c r="B195" s="5" t="s">
        <v>1112</v>
      </c>
      <c r="C195" s="6" t="s">
        <v>1113</v>
      </c>
      <c r="D195" s="6" t="s">
        <v>1114</v>
      </c>
      <c r="E195" s="6" t="s">
        <v>1115</v>
      </c>
      <c r="F195" s="6"/>
      <c r="G195" s="7">
        <f>IFERROR(ROUND(M195/N195*100,2),0)</f>
      </c>
      <c r="H195" s="7">
        <f>IFERROR(ROUND(O195/P195*100,2),0)</f>
      </c>
      <c r="I195" s="6"/>
      <c r="J195" s="6"/>
      <c r="K195" s="7">
        <v>2.77</v>
      </c>
      <c r="L195" s="6" t="s">
        <v>22</v>
      </c>
      <c r="M195" s="7">
        <v>3</v>
      </c>
      <c r="N195" s="7">
        <v>3</v>
      </c>
      <c r="O195" s="7">
        <v>0</v>
      </c>
      <c r="P195" s="7">
        <v>0</v>
      </c>
    </row>
    <row x14ac:dyDescent="0.25" r="196" customHeight="1" ht="36">
      <c r="A196" s="4" t="s">
        <v>1116</v>
      </c>
      <c r="B196" s="5" t="s">
        <v>1117</v>
      </c>
      <c r="C196" s="6" t="s">
        <v>1118</v>
      </c>
      <c r="D196" s="6" t="s">
        <v>1119</v>
      </c>
      <c r="E196" s="6" t="s">
        <v>1120</v>
      </c>
      <c r="F196" s="6"/>
      <c r="G196" s="7">
        <f>IFERROR(ROUND(M196/N196*100,2),0)</f>
      </c>
      <c r="H196" s="7">
        <f>IFERROR(ROUND(O196/P196*100,2),0)</f>
      </c>
      <c r="I196" s="6" t="s">
        <v>1121</v>
      </c>
      <c r="J196" s="6"/>
      <c r="K196" s="7">
        <v>3.88</v>
      </c>
      <c r="L196" s="6" t="s">
        <v>22</v>
      </c>
      <c r="M196" s="7">
        <v>7</v>
      </c>
      <c r="N196" s="7">
        <v>10</v>
      </c>
      <c r="O196" s="7">
        <v>0</v>
      </c>
      <c r="P196" s="7">
        <v>0</v>
      </c>
    </row>
    <row x14ac:dyDescent="0.25" r="197" customHeight="1" ht="36">
      <c r="A197" s="4" t="s">
        <v>1122</v>
      </c>
      <c r="B197" s="5" t="s">
        <v>1123</v>
      </c>
      <c r="C197" s="6" t="s">
        <v>1124</v>
      </c>
      <c r="D197" s="6" t="s">
        <v>1125</v>
      </c>
      <c r="E197" s="6" t="s">
        <v>1126</v>
      </c>
      <c r="F197" s="6"/>
      <c r="G197" s="7">
        <f>IFERROR(ROUND(M197/N197*100,2),0)</f>
      </c>
      <c r="H197" s="7">
        <f>IFERROR(ROUND(O197/P197*100,2),0)</f>
      </c>
      <c r="I197" s="6" t="s">
        <v>1127</v>
      </c>
      <c r="J197" s="6"/>
      <c r="K197" s="7">
        <v>3.99</v>
      </c>
      <c r="L197" s="6" t="s">
        <v>22</v>
      </c>
      <c r="M197" s="7">
        <v>6</v>
      </c>
      <c r="N197" s="7">
        <v>11</v>
      </c>
      <c r="O197" s="7">
        <v>0</v>
      </c>
      <c r="P197" s="7">
        <v>0</v>
      </c>
    </row>
    <row x14ac:dyDescent="0.25" r="198" customHeight="1" ht="36">
      <c r="A198" s="4" t="s">
        <v>1128</v>
      </c>
      <c r="B198" s="5" t="s">
        <v>1129</v>
      </c>
      <c r="C198" s="6" t="s">
        <v>1130</v>
      </c>
      <c r="D198" s="6" t="s">
        <v>1131</v>
      </c>
      <c r="E198" s="6" t="s">
        <v>1132</v>
      </c>
      <c r="F198" s="6"/>
      <c r="G198" s="7">
        <f>IFERROR(ROUND(M198/N198*100,2),0)</f>
      </c>
      <c r="H198" s="7">
        <f>IFERROR(ROUND(O198/P198*100,2),0)</f>
      </c>
      <c r="I198" s="6" t="s">
        <v>1133</v>
      </c>
      <c r="J198" s="6"/>
      <c r="K198" s="7">
        <v>3.8</v>
      </c>
      <c r="L198" s="6" t="s">
        <v>22</v>
      </c>
      <c r="M198" s="7">
        <v>12</v>
      </c>
      <c r="N198" s="7">
        <v>16</v>
      </c>
      <c r="O198" s="7">
        <v>0</v>
      </c>
      <c r="P198" s="7">
        <v>0</v>
      </c>
    </row>
    <row x14ac:dyDescent="0.25" r="199" customHeight="1" ht="22">
      <c r="A199" s="4" t="s">
        <v>1134</v>
      </c>
      <c r="B199" s="5" t="s">
        <v>1135</v>
      </c>
      <c r="C199" s="6" t="s">
        <v>1136</v>
      </c>
      <c r="D199" s="6" t="s">
        <v>1137</v>
      </c>
      <c r="E199" s="6" t="s">
        <v>1138</v>
      </c>
      <c r="F199" s="6"/>
      <c r="G199" s="7">
        <f>IFERROR(ROUND(M199/N199*100,2),0)</f>
      </c>
      <c r="H199" s="7">
        <f>IFERROR(ROUND(O199/P199*100,2),0)</f>
      </c>
      <c r="I199" s="6" t="s">
        <v>1139</v>
      </c>
      <c r="J199" s="6"/>
      <c r="K199" s="7">
        <v>3.22</v>
      </c>
      <c r="L199" s="6" t="s">
        <v>22</v>
      </c>
      <c r="M199" s="7">
        <v>6</v>
      </c>
      <c r="N199" s="7">
        <v>8</v>
      </c>
      <c r="O199" s="7">
        <v>0</v>
      </c>
      <c r="P199" s="7">
        <v>0</v>
      </c>
    </row>
    <row x14ac:dyDescent="0.25" r="200" customHeight="1" ht="36">
      <c r="A200" s="4" t="s">
        <v>1140</v>
      </c>
      <c r="B200" s="5" t="s">
        <v>1141</v>
      </c>
      <c r="C200" s="6" t="s">
        <v>1142</v>
      </c>
      <c r="D200" s="6" t="s">
        <v>1143</v>
      </c>
      <c r="E200" s="6" t="s">
        <v>1144</v>
      </c>
      <c r="F200" s="6"/>
      <c r="G200" s="7">
        <f>IFERROR(ROUND(M200/N200*100,2),0)</f>
      </c>
      <c r="H200" s="7">
        <f>IFERROR(ROUND(O200/P200*100,2),0)</f>
      </c>
      <c r="I200" s="6" t="s">
        <v>1145</v>
      </c>
      <c r="J200" s="6"/>
      <c r="K200" s="7">
        <v>3.6</v>
      </c>
      <c r="L200" s="6" t="s">
        <v>22</v>
      </c>
      <c r="M200" s="7">
        <v>10</v>
      </c>
      <c r="N200" s="7">
        <v>12</v>
      </c>
      <c r="O200" s="7">
        <v>0</v>
      </c>
      <c r="P200" s="7">
        <v>0</v>
      </c>
    </row>
    <row x14ac:dyDescent="0.25" r="201" customHeight="1" ht="22">
      <c r="A201" s="4" t="s">
        <v>1146</v>
      </c>
      <c r="B201" s="5" t="s">
        <v>1147</v>
      </c>
      <c r="C201" s="6" t="s">
        <v>1148</v>
      </c>
      <c r="D201" s="6" t="s">
        <v>1149</v>
      </c>
      <c r="E201" s="6" t="s">
        <v>1150</v>
      </c>
      <c r="F201" s="6"/>
      <c r="G201" s="7">
        <f>IFERROR(ROUND(M201/N201*100,2),0)</f>
      </c>
      <c r="H201" s="7">
        <f>IFERROR(ROUND(O201/P201*100,2),0)</f>
      </c>
      <c r="I201" s="6" t="s">
        <v>1151</v>
      </c>
      <c r="J201" s="6"/>
      <c r="K201" s="7">
        <v>3.24</v>
      </c>
      <c r="L201" s="6" t="s">
        <v>22</v>
      </c>
      <c r="M201" s="7">
        <v>4</v>
      </c>
      <c r="N201" s="7">
        <v>6</v>
      </c>
      <c r="O201" s="7">
        <v>0</v>
      </c>
      <c r="P201" s="7">
        <v>0</v>
      </c>
    </row>
    <row x14ac:dyDescent="0.25" r="202" customHeight="1" ht="36">
      <c r="A202" s="4" t="s">
        <v>1152</v>
      </c>
      <c r="B202" s="5" t="s">
        <v>1153</v>
      </c>
      <c r="C202" s="6" t="s">
        <v>1154</v>
      </c>
      <c r="D202" s="6" t="s">
        <v>1155</v>
      </c>
      <c r="E202" s="6" t="s">
        <v>1156</v>
      </c>
      <c r="F202" s="6"/>
      <c r="G202" s="7">
        <f>IFERROR(ROUND(M202/N202*100,2),0)</f>
      </c>
      <c r="H202" s="7">
        <f>IFERROR(ROUND(O202/P202*100,2),0)</f>
      </c>
      <c r="I202" s="6" t="s">
        <v>1157</v>
      </c>
      <c r="J202" s="6"/>
      <c r="K202" s="7">
        <v>4.66</v>
      </c>
      <c r="L202" s="6" t="s">
        <v>22</v>
      </c>
      <c r="M202" s="7">
        <v>10</v>
      </c>
      <c r="N202" s="7">
        <v>11</v>
      </c>
      <c r="O202" s="7">
        <v>0</v>
      </c>
      <c r="P202" s="7">
        <v>0</v>
      </c>
    </row>
    <row x14ac:dyDescent="0.25" r="203" customHeight="1" ht="22">
      <c r="A203" s="4" t="s">
        <v>1158</v>
      </c>
      <c r="B203" s="5" t="s">
        <v>1159</v>
      </c>
      <c r="C203" s="6" t="s">
        <v>1160</v>
      </c>
      <c r="D203" s="6" t="s">
        <v>1161</v>
      </c>
      <c r="E203" s="6" t="s">
        <v>1161</v>
      </c>
      <c r="F203" s="6"/>
      <c r="G203" s="7">
        <f>IFERROR(ROUND(M203/N203*100,2),0)</f>
      </c>
      <c r="H203" s="7">
        <f>IFERROR(ROUND(O203/P203*100,2),0)</f>
      </c>
      <c r="I203" s="6" t="s">
        <v>1162</v>
      </c>
      <c r="J203" s="6"/>
      <c r="K203" s="7">
        <v>4.71</v>
      </c>
      <c r="L203" s="6" t="s">
        <v>22</v>
      </c>
      <c r="M203" s="7">
        <v>0</v>
      </c>
      <c r="N203" s="7">
        <v>9</v>
      </c>
      <c r="O203" s="7">
        <v>0</v>
      </c>
      <c r="P203" s="7">
        <v>0</v>
      </c>
    </row>
    <row x14ac:dyDescent="0.25" r="204" customHeight="1" ht="22">
      <c r="A204" s="4" t="s">
        <v>1163</v>
      </c>
      <c r="B204" s="5" t="s">
        <v>1164</v>
      </c>
      <c r="C204" s="6" t="s">
        <v>1165</v>
      </c>
      <c r="D204" s="6" t="s">
        <v>1166</v>
      </c>
      <c r="E204" s="6" t="s">
        <v>1167</v>
      </c>
      <c r="F204" s="6"/>
      <c r="G204" s="7">
        <f>IFERROR(ROUND(M204/N204*100,2),0)</f>
      </c>
      <c r="H204" s="7">
        <f>IFERROR(ROUND(O204/P204*100,2),0)</f>
      </c>
      <c r="I204" s="6" t="s">
        <v>1168</v>
      </c>
      <c r="J204" s="6"/>
      <c r="K204" s="7">
        <v>3.72</v>
      </c>
      <c r="L204" s="6" t="s">
        <v>22</v>
      </c>
      <c r="M204" s="7">
        <v>3</v>
      </c>
      <c r="N204" s="7">
        <v>6</v>
      </c>
      <c r="O204" s="7">
        <v>0</v>
      </c>
      <c r="P204" s="7">
        <v>0</v>
      </c>
    </row>
    <row x14ac:dyDescent="0.25" r="205" customHeight="1" ht="22">
      <c r="A205" s="4" t="s">
        <v>1169</v>
      </c>
      <c r="B205" s="5" t="s">
        <v>1170</v>
      </c>
      <c r="C205" s="6" t="s">
        <v>1171</v>
      </c>
      <c r="D205" s="6" t="s">
        <v>1172</v>
      </c>
      <c r="E205" s="6" t="s">
        <v>1173</v>
      </c>
      <c r="F205" s="6"/>
      <c r="G205" s="7">
        <f>IFERROR(ROUND(M205/N205*100,2),0)</f>
      </c>
      <c r="H205" s="7">
        <f>IFERROR(ROUND(O205/P205*100,2),0)</f>
      </c>
      <c r="I205" s="6" t="s">
        <v>1174</v>
      </c>
      <c r="J205" s="6"/>
      <c r="K205" s="7">
        <v>6.68</v>
      </c>
      <c r="L205" s="6" t="s">
        <v>22</v>
      </c>
      <c r="M205" s="7">
        <v>5</v>
      </c>
      <c r="N205" s="7">
        <v>8</v>
      </c>
      <c r="O205" s="7">
        <v>0</v>
      </c>
      <c r="P205" s="7">
        <v>0</v>
      </c>
    </row>
    <row x14ac:dyDescent="0.25" r="206" customHeight="1" ht="22">
      <c r="A206" s="4" t="s">
        <v>1175</v>
      </c>
      <c r="B206" s="5" t="s">
        <v>1176</v>
      </c>
      <c r="C206" s="6" t="s">
        <v>1177</v>
      </c>
      <c r="D206" s="6" t="s">
        <v>1178</v>
      </c>
      <c r="E206" s="6" t="s">
        <v>1179</v>
      </c>
      <c r="F206" s="6"/>
      <c r="G206" s="7">
        <f>IFERROR(ROUND(M206/N206*100,2),0)</f>
      </c>
      <c r="H206" s="7">
        <f>IFERROR(ROUND(O206/P206*100,2),0)</f>
      </c>
      <c r="I206" s="6" t="s">
        <v>1180</v>
      </c>
      <c r="J206" s="6"/>
      <c r="K206" s="7">
        <v>3.1</v>
      </c>
      <c r="L206" s="6" t="s">
        <v>22</v>
      </c>
      <c r="M206" s="7">
        <v>4</v>
      </c>
      <c r="N206" s="7">
        <v>5</v>
      </c>
      <c r="O206" s="7">
        <v>0</v>
      </c>
      <c r="P206" s="7">
        <v>0</v>
      </c>
    </row>
    <row x14ac:dyDescent="0.25" r="207" customHeight="1" ht="36">
      <c r="A207" s="4" t="s">
        <v>1181</v>
      </c>
      <c r="B207" s="5" t="s">
        <v>1182</v>
      </c>
      <c r="C207" s="6" t="s">
        <v>1183</v>
      </c>
      <c r="D207" s="6" t="s">
        <v>1184</v>
      </c>
      <c r="E207" s="6" t="s">
        <v>1185</v>
      </c>
      <c r="F207" s="6"/>
      <c r="G207" s="7">
        <f>IFERROR(ROUND(M207/N207*100,2),0)</f>
      </c>
      <c r="H207" s="7">
        <f>IFERROR(ROUND(O207/P207*100,2),0)</f>
      </c>
      <c r="I207" s="6" t="s">
        <v>1186</v>
      </c>
      <c r="J207" s="6"/>
      <c r="K207" s="7">
        <v>3.58</v>
      </c>
      <c r="L207" s="6" t="s">
        <v>22</v>
      </c>
      <c r="M207" s="7">
        <v>9</v>
      </c>
      <c r="N207" s="7">
        <v>10</v>
      </c>
      <c r="O207" s="7">
        <v>0</v>
      </c>
      <c r="P207" s="7">
        <v>0</v>
      </c>
    </row>
    <row x14ac:dyDescent="0.25" r="208" customHeight="1" ht="22">
      <c r="A208" s="4" t="s">
        <v>1187</v>
      </c>
      <c r="B208" s="5" t="s">
        <v>1188</v>
      </c>
      <c r="C208" s="6" t="s">
        <v>1189</v>
      </c>
      <c r="D208" s="6" t="s">
        <v>1190</v>
      </c>
      <c r="E208" s="6" t="s">
        <v>1191</v>
      </c>
      <c r="F208" s="6"/>
      <c r="G208" s="7">
        <f>IFERROR(ROUND(M208/N208*100,2),0)</f>
      </c>
      <c r="H208" s="7">
        <f>IFERROR(ROUND(O208/P208*100,2),0)</f>
      </c>
      <c r="I208" s="6" t="s">
        <v>1192</v>
      </c>
      <c r="J208" s="6"/>
      <c r="K208" s="7">
        <v>2.87</v>
      </c>
      <c r="L208" s="6" t="s">
        <v>22</v>
      </c>
      <c r="M208" s="7">
        <v>2</v>
      </c>
      <c r="N208" s="7">
        <v>4</v>
      </c>
      <c r="O208" s="7">
        <v>0</v>
      </c>
      <c r="P208" s="7">
        <v>0</v>
      </c>
    </row>
    <row x14ac:dyDescent="0.25" r="209" customHeight="1" ht="22">
      <c r="A209" s="4" t="s">
        <v>1193</v>
      </c>
      <c r="B209" s="5" t="s">
        <v>1194</v>
      </c>
      <c r="C209" s="6" t="s">
        <v>1195</v>
      </c>
      <c r="D209" s="6" t="s">
        <v>1196</v>
      </c>
      <c r="E209" s="6" t="s">
        <v>1197</v>
      </c>
      <c r="F209" s="6"/>
      <c r="G209" s="7">
        <f>IFERROR(ROUND(M209/N209*100,2),0)</f>
      </c>
      <c r="H209" s="7">
        <f>IFERROR(ROUND(O209/P209*100,2),0)</f>
      </c>
      <c r="I209" s="6" t="s">
        <v>1198</v>
      </c>
      <c r="J209" s="6"/>
      <c r="K209" s="7">
        <v>3.4</v>
      </c>
      <c r="L209" s="6" t="s">
        <v>22</v>
      </c>
      <c r="M209" s="7">
        <v>4</v>
      </c>
      <c r="N209" s="7">
        <v>6</v>
      </c>
      <c r="O209" s="7">
        <v>0</v>
      </c>
      <c r="P209" s="7">
        <v>0</v>
      </c>
    </row>
    <row x14ac:dyDescent="0.25" r="210" customHeight="1" ht="22">
      <c r="A210" s="4" t="s">
        <v>1199</v>
      </c>
      <c r="B210" s="5" t="s">
        <v>1200</v>
      </c>
      <c r="C210" s="6" t="s">
        <v>1201</v>
      </c>
      <c r="D210" s="6" t="s">
        <v>1202</v>
      </c>
      <c r="E210" s="6" t="s">
        <v>1202</v>
      </c>
      <c r="F210" s="6"/>
      <c r="G210" s="7">
        <f>IFERROR(ROUND(M210/N210*100,2),0)</f>
      </c>
      <c r="H210" s="7">
        <f>IFERROR(ROUND(O210/P210*100,2),0)</f>
      </c>
      <c r="I210" s="6" t="s">
        <v>1203</v>
      </c>
      <c r="J210" s="6"/>
      <c r="K210" s="7">
        <v>3.43</v>
      </c>
      <c r="L210" s="6" t="s">
        <v>22</v>
      </c>
      <c r="M210" s="7">
        <v>0</v>
      </c>
      <c r="N210" s="7">
        <v>6</v>
      </c>
      <c r="O210" s="7">
        <v>0</v>
      </c>
      <c r="P210" s="7">
        <v>0</v>
      </c>
    </row>
    <row x14ac:dyDescent="0.25" r="211" customHeight="1" ht="54">
      <c r="A211" s="4" t="s">
        <v>1204</v>
      </c>
      <c r="B211" s="5" t="s">
        <v>1205</v>
      </c>
      <c r="C211" s="6" t="s">
        <v>1206</v>
      </c>
      <c r="D211" s="6" t="s">
        <v>1207</v>
      </c>
      <c r="E211" s="6" t="s">
        <v>1208</v>
      </c>
      <c r="F211" s="6"/>
      <c r="G211" s="7">
        <f>IFERROR(ROUND(M211/N211*100,2),0)</f>
      </c>
      <c r="H211" s="7">
        <f>IFERROR(ROUND(O211/P211*100,2),0)</f>
      </c>
      <c r="I211" s="6" t="s">
        <v>1209</v>
      </c>
      <c r="J211" s="6"/>
      <c r="K211" s="7">
        <v>4.67</v>
      </c>
      <c r="L211" s="6" t="s">
        <v>22</v>
      </c>
      <c r="M211" s="7">
        <v>18</v>
      </c>
      <c r="N211" s="7">
        <v>25</v>
      </c>
      <c r="O211" s="7">
        <v>0</v>
      </c>
      <c r="P211" s="7">
        <v>0</v>
      </c>
    </row>
    <row x14ac:dyDescent="0.25" r="212" customHeight="1" ht="36">
      <c r="A212" s="4" t="s">
        <v>1210</v>
      </c>
      <c r="B212" s="5" t="s">
        <v>1211</v>
      </c>
      <c r="C212" s="6" t="s">
        <v>1212</v>
      </c>
      <c r="D212" s="6" t="s">
        <v>1213</v>
      </c>
      <c r="E212" s="6" t="s">
        <v>1213</v>
      </c>
      <c r="F212" s="6"/>
      <c r="G212" s="7">
        <f>IFERROR(ROUND(M212/N212*100,2),0)</f>
      </c>
      <c r="H212" s="7">
        <f>IFERROR(ROUND(O212/P212*100,2),0)</f>
      </c>
      <c r="I212" s="6" t="s">
        <v>1214</v>
      </c>
      <c r="J212" s="6"/>
      <c r="K212" s="7">
        <v>3.71</v>
      </c>
      <c r="L212" s="6" t="s">
        <v>22</v>
      </c>
      <c r="M212" s="7">
        <v>0</v>
      </c>
      <c r="N212" s="7">
        <v>15</v>
      </c>
      <c r="O212" s="7">
        <v>0</v>
      </c>
      <c r="P212" s="7">
        <v>0</v>
      </c>
    </row>
    <row x14ac:dyDescent="0.25" r="213" customHeight="1" ht="22">
      <c r="A213" s="4" t="s">
        <v>1215</v>
      </c>
      <c r="B213" s="5" t="s">
        <v>1216</v>
      </c>
      <c r="C213" s="6" t="s">
        <v>1217</v>
      </c>
      <c r="D213" s="6" t="s">
        <v>1218</v>
      </c>
      <c r="E213" s="6" t="s">
        <v>1218</v>
      </c>
      <c r="F213" s="6"/>
      <c r="G213" s="7">
        <f>IFERROR(ROUND(M213/N213*100,2),0)</f>
      </c>
      <c r="H213" s="7">
        <f>IFERROR(ROUND(O213/P213*100,2),0)</f>
      </c>
      <c r="I213" s="6" t="s">
        <v>1219</v>
      </c>
      <c r="J213" s="6"/>
      <c r="K213" s="7">
        <v>3.71</v>
      </c>
      <c r="L213" s="6" t="s">
        <v>22</v>
      </c>
      <c r="M213" s="7">
        <v>0</v>
      </c>
      <c r="N213" s="7">
        <v>5</v>
      </c>
      <c r="O213" s="7">
        <v>0</v>
      </c>
      <c r="P213" s="7">
        <v>0</v>
      </c>
    </row>
    <row x14ac:dyDescent="0.25" r="214" customHeight="1" ht="36">
      <c r="A214" s="4" t="s">
        <v>1220</v>
      </c>
      <c r="B214" s="5" t="s">
        <v>1221</v>
      </c>
      <c r="C214" s="6" t="s">
        <v>1222</v>
      </c>
      <c r="D214" s="6" t="s">
        <v>1223</v>
      </c>
      <c r="E214" s="6" t="s">
        <v>1224</v>
      </c>
      <c r="F214" s="6"/>
      <c r="G214" s="7">
        <f>IFERROR(ROUND(M214/N214*100,2),0)</f>
      </c>
      <c r="H214" s="7">
        <f>IFERROR(ROUND(O214/P214*100,2),0)</f>
      </c>
      <c r="I214" s="6" t="s">
        <v>1225</v>
      </c>
      <c r="J214" s="6"/>
      <c r="K214" s="7">
        <v>4.2</v>
      </c>
      <c r="L214" s="6" t="s">
        <v>22</v>
      </c>
      <c r="M214" s="7">
        <v>7</v>
      </c>
      <c r="N214" s="7">
        <v>11</v>
      </c>
      <c r="O214" s="7">
        <v>0</v>
      </c>
      <c r="P214" s="7">
        <v>0</v>
      </c>
    </row>
    <row x14ac:dyDescent="0.25" r="215" customHeight="1" ht="22">
      <c r="A215" s="4" t="s">
        <v>1226</v>
      </c>
      <c r="B215" s="5" t="s">
        <v>1227</v>
      </c>
      <c r="C215" s="6" t="s">
        <v>1228</v>
      </c>
      <c r="D215" s="6" t="s">
        <v>1229</v>
      </c>
      <c r="E215" s="6" t="s">
        <v>1229</v>
      </c>
      <c r="F215" s="6"/>
      <c r="G215" s="7">
        <f>IFERROR(ROUND(M215/N215*100,2),0)</f>
      </c>
      <c r="H215" s="7">
        <f>IFERROR(ROUND(O215/P215*100,2),0)</f>
      </c>
      <c r="I215" s="6" t="s">
        <v>1230</v>
      </c>
      <c r="J215" s="6"/>
      <c r="K215" s="7">
        <v>3.33</v>
      </c>
      <c r="L215" s="6" t="s">
        <v>22</v>
      </c>
      <c r="M215" s="7">
        <v>0</v>
      </c>
      <c r="N215" s="7">
        <v>6</v>
      </c>
      <c r="O215" s="7">
        <v>0</v>
      </c>
      <c r="P215" s="7">
        <v>0</v>
      </c>
    </row>
    <row x14ac:dyDescent="0.25" r="216" customHeight="1" ht="54">
      <c r="A216" s="4" t="s">
        <v>1231</v>
      </c>
      <c r="B216" s="5" t="s">
        <v>1232</v>
      </c>
      <c r="C216" s="6" t="s">
        <v>1233</v>
      </c>
      <c r="D216" s="6" t="s">
        <v>1234</v>
      </c>
      <c r="E216" s="6" t="s">
        <v>1235</v>
      </c>
      <c r="F216" s="6"/>
      <c r="G216" s="7">
        <f>IFERROR(ROUND(M216/N216*100,2),0)</f>
      </c>
      <c r="H216" s="7">
        <f>IFERROR(ROUND(O216/P216*100,2),0)</f>
      </c>
      <c r="I216" s="6" t="s">
        <v>1236</v>
      </c>
      <c r="J216" s="6"/>
      <c r="K216" s="7">
        <v>4.45</v>
      </c>
      <c r="L216" s="6" t="s">
        <v>22</v>
      </c>
      <c r="M216" s="7">
        <v>15</v>
      </c>
      <c r="N216" s="7">
        <v>21</v>
      </c>
      <c r="O216" s="7">
        <v>0</v>
      </c>
      <c r="P216" s="7">
        <v>0</v>
      </c>
    </row>
    <row x14ac:dyDescent="0.25" r="217" customHeight="1" ht="36">
      <c r="A217" s="4" t="s">
        <v>1237</v>
      </c>
      <c r="B217" s="5" t="s">
        <v>1238</v>
      </c>
      <c r="C217" s="6" t="s">
        <v>1239</v>
      </c>
      <c r="D217" s="6" t="s">
        <v>1240</v>
      </c>
      <c r="E217" s="6" t="s">
        <v>1241</v>
      </c>
      <c r="F217" s="6"/>
      <c r="G217" s="7">
        <f>IFERROR(ROUND(M217/N217*100,2),0)</f>
      </c>
      <c r="H217" s="7">
        <f>IFERROR(ROUND(O217/P217*100,2),0)</f>
      </c>
      <c r="I217" s="6" t="s">
        <v>1242</v>
      </c>
      <c r="J217" s="6"/>
      <c r="K217" s="7">
        <v>6.05</v>
      </c>
      <c r="L217" s="6" t="s">
        <v>22</v>
      </c>
      <c r="M217" s="7">
        <v>8</v>
      </c>
      <c r="N217" s="7">
        <v>12</v>
      </c>
      <c r="O217" s="7">
        <v>0</v>
      </c>
      <c r="P217" s="7">
        <v>0</v>
      </c>
    </row>
    <row x14ac:dyDescent="0.25" r="218" customHeight="1" ht="22">
      <c r="A218" s="4" t="s">
        <v>1243</v>
      </c>
      <c r="B218" s="5" t="s">
        <v>1244</v>
      </c>
      <c r="C218" s="6" t="s">
        <v>1245</v>
      </c>
      <c r="D218" s="6" t="s">
        <v>1246</v>
      </c>
      <c r="E218" s="6" t="s">
        <v>1246</v>
      </c>
      <c r="F218" s="6"/>
      <c r="G218" s="7">
        <f>IFERROR(ROUND(M218/N218*100,2),0)</f>
      </c>
      <c r="H218" s="7">
        <f>IFERROR(ROUND(O218/P218*100,2),0)</f>
      </c>
      <c r="I218" s="6" t="s">
        <v>1247</v>
      </c>
      <c r="J218" s="6"/>
      <c r="K218" s="7">
        <v>2.82</v>
      </c>
      <c r="L218" s="6" t="s">
        <v>22</v>
      </c>
      <c r="M218" s="7">
        <v>0</v>
      </c>
      <c r="N218" s="7">
        <v>6</v>
      </c>
      <c r="O218" s="7">
        <v>0</v>
      </c>
      <c r="P218" s="7">
        <v>0</v>
      </c>
    </row>
    <row x14ac:dyDescent="0.25" r="219" customHeight="1" ht="22">
      <c r="A219" s="4" t="s">
        <v>1248</v>
      </c>
      <c r="B219" s="5" t="s">
        <v>1249</v>
      </c>
      <c r="C219" s="6" t="s">
        <v>1250</v>
      </c>
      <c r="D219" s="6" t="s">
        <v>1251</v>
      </c>
      <c r="E219" s="6" t="s">
        <v>1252</v>
      </c>
      <c r="F219" s="6"/>
      <c r="G219" s="7">
        <f>IFERROR(ROUND(M219/N219*100,2),0)</f>
      </c>
      <c r="H219" s="7">
        <f>IFERROR(ROUND(O219/P219*100,2),0)</f>
      </c>
      <c r="I219" s="6" t="s">
        <v>1253</v>
      </c>
      <c r="J219" s="6"/>
      <c r="K219" s="7">
        <v>3.2</v>
      </c>
      <c r="L219" s="6" t="s">
        <v>22</v>
      </c>
      <c r="M219" s="7">
        <v>4</v>
      </c>
      <c r="N219" s="7">
        <v>5</v>
      </c>
      <c r="O219" s="7">
        <v>0</v>
      </c>
      <c r="P219" s="7">
        <v>0</v>
      </c>
    </row>
    <row x14ac:dyDescent="0.25" r="220" customHeight="1" ht="36">
      <c r="A220" s="4" t="s">
        <v>1254</v>
      </c>
      <c r="B220" s="5" t="s">
        <v>1255</v>
      </c>
      <c r="C220" s="6" t="s">
        <v>1256</v>
      </c>
      <c r="D220" s="6" t="s">
        <v>1257</v>
      </c>
      <c r="E220" s="6" t="s">
        <v>1258</v>
      </c>
      <c r="F220" s="6"/>
      <c r="G220" s="7">
        <f>IFERROR(ROUND(M220/N220*100,2),0)</f>
      </c>
      <c r="H220" s="7">
        <f>IFERROR(ROUND(O220/P220*100,2),0)</f>
      </c>
      <c r="I220" s="6" t="s">
        <v>1259</v>
      </c>
      <c r="J220" s="6"/>
      <c r="K220" s="7">
        <v>4.04</v>
      </c>
      <c r="L220" s="6" t="s">
        <v>22</v>
      </c>
      <c r="M220" s="7">
        <v>5</v>
      </c>
      <c r="N220" s="7">
        <v>12</v>
      </c>
      <c r="O220" s="7">
        <v>0</v>
      </c>
      <c r="P220" s="7">
        <v>0</v>
      </c>
    </row>
    <row x14ac:dyDescent="0.25" r="221" customHeight="1" ht="36">
      <c r="A221" s="4" t="s">
        <v>1260</v>
      </c>
      <c r="B221" s="5" t="s">
        <v>1261</v>
      </c>
      <c r="C221" s="6" t="s">
        <v>1262</v>
      </c>
      <c r="D221" s="6" t="s">
        <v>1263</v>
      </c>
      <c r="E221" s="6" t="s">
        <v>1264</v>
      </c>
      <c r="F221" s="6"/>
      <c r="G221" s="7">
        <f>IFERROR(ROUND(M221/N221*100,2),0)</f>
      </c>
      <c r="H221" s="7">
        <f>IFERROR(ROUND(O221/P221*100,2),0)</f>
      </c>
      <c r="I221" s="6" t="s">
        <v>1265</v>
      </c>
      <c r="J221" s="6"/>
      <c r="K221" s="7">
        <v>3.63</v>
      </c>
      <c r="L221" s="6" t="s">
        <v>22</v>
      </c>
      <c r="M221" s="7">
        <v>7</v>
      </c>
      <c r="N221" s="7">
        <v>10</v>
      </c>
      <c r="O221" s="7">
        <v>0</v>
      </c>
      <c r="P221" s="7">
        <v>0</v>
      </c>
    </row>
    <row x14ac:dyDescent="0.25" r="222" customHeight="1" ht="22">
      <c r="A222" s="4" t="s">
        <v>1266</v>
      </c>
      <c r="B222" s="5" t="s">
        <v>1267</v>
      </c>
      <c r="C222" s="6" t="s">
        <v>1268</v>
      </c>
      <c r="D222" s="6" t="s">
        <v>1269</v>
      </c>
      <c r="E222" s="6" t="s">
        <v>1270</v>
      </c>
      <c r="F222" s="6"/>
      <c r="G222" s="7">
        <f>IFERROR(ROUND(M222/N222*100,2),0)</f>
      </c>
      <c r="H222" s="7">
        <f>IFERROR(ROUND(O222/P222*100,2),0)</f>
      </c>
      <c r="I222" s="6" t="s">
        <v>1271</v>
      </c>
      <c r="J222" s="6"/>
      <c r="K222" s="7">
        <v>4.23</v>
      </c>
      <c r="L222" s="6" t="s">
        <v>22</v>
      </c>
      <c r="M222" s="7">
        <v>3</v>
      </c>
      <c r="N222" s="7">
        <v>6</v>
      </c>
      <c r="O222" s="7">
        <v>0</v>
      </c>
      <c r="P222" s="7">
        <v>0</v>
      </c>
    </row>
    <row x14ac:dyDescent="0.25" r="223" customHeight="1" ht="36">
      <c r="A223" s="4" t="s">
        <v>1272</v>
      </c>
      <c r="B223" s="5" t="s">
        <v>1273</v>
      </c>
      <c r="C223" s="6" t="s">
        <v>1274</v>
      </c>
      <c r="D223" s="6" t="s">
        <v>1275</v>
      </c>
      <c r="E223" s="6" t="s">
        <v>1276</v>
      </c>
      <c r="F223" s="6"/>
      <c r="G223" s="7">
        <f>IFERROR(ROUND(M223/N223*100,2),0)</f>
      </c>
      <c r="H223" s="7">
        <f>IFERROR(ROUND(O223/P223*100,2),0)</f>
      </c>
      <c r="I223" s="6" t="s">
        <v>1277</v>
      </c>
      <c r="J223" s="6"/>
      <c r="K223" s="7">
        <v>3.46</v>
      </c>
      <c r="L223" s="6" t="s">
        <v>22</v>
      </c>
      <c r="M223" s="7">
        <v>6</v>
      </c>
      <c r="N223" s="7">
        <v>10</v>
      </c>
      <c r="O223" s="7">
        <v>0</v>
      </c>
      <c r="P223" s="7">
        <v>0</v>
      </c>
    </row>
    <row x14ac:dyDescent="0.25" r="224" customHeight="1" ht="22">
      <c r="A224" s="4" t="s">
        <v>1278</v>
      </c>
      <c r="B224" s="5" t="s">
        <v>1279</v>
      </c>
      <c r="C224" s="6" t="s">
        <v>1280</v>
      </c>
      <c r="D224" s="6" t="s">
        <v>1281</v>
      </c>
      <c r="E224" s="6" t="s">
        <v>1282</v>
      </c>
      <c r="F224" s="6"/>
      <c r="G224" s="7">
        <f>IFERROR(ROUND(M224/N224*100,2),0)</f>
      </c>
      <c r="H224" s="7">
        <f>IFERROR(ROUND(O224/P224*100,2),0)</f>
      </c>
      <c r="I224" s="6" t="s">
        <v>1283</v>
      </c>
      <c r="J224" s="6"/>
      <c r="K224" s="7">
        <v>3.25</v>
      </c>
      <c r="L224" s="6" t="s">
        <v>22</v>
      </c>
      <c r="M224" s="7">
        <v>5</v>
      </c>
      <c r="N224" s="7">
        <v>6</v>
      </c>
      <c r="O224" s="7">
        <v>0</v>
      </c>
      <c r="P224" s="7">
        <v>0</v>
      </c>
    </row>
    <row x14ac:dyDescent="0.25" r="225" customHeight="1" ht="22">
      <c r="A225" s="4" t="s">
        <v>1284</v>
      </c>
      <c r="B225" s="5" t="s">
        <v>1285</v>
      </c>
      <c r="C225" s="6" t="s">
        <v>1286</v>
      </c>
      <c r="D225" s="6" t="s">
        <v>1287</v>
      </c>
      <c r="E225" s="6" t="s">
        <v>1288</v>
      </c>
      <c r="F225" s="6"/>
      <c r="G225" s="7">
        <f>IFERROR(ROUND(M225/N225*100,2),0)</f>
      </c>
      <c r="H225" s="7">
        <f>IFERROR(ROUND(O225/P225*100,2),0)</f>
      </c>
      <c r="I225" s="6" t="s">
        <v>1289</v>
      </c>
      <c r="J225" s="6"/>
      <c r="K225" s="7">
        <v>3.89</v>
      </c>
      <c r="L225" s="6" t="s">
        <v>22</v>
      </c>
      <c r="M225" s="7">
        <v>6</v>
      </c>
      <c r="N225" s="7">
        <v>7</v>
      </c>
      <c r="O225" s="7">
        <v>0</v>
      </c>
      <c r="P225" s="7">
        <v>0</v>
      </c>
    </row>
    <row x14ac:dyDescent="0.25" r="226" customHeight="1" ht="22">
      <c r="A226" s="4" t="s">
        <v>1290</v>
      </c>
      <c r="B226" s="5" t="s">
        <v>1291</v>
      </c>
      <c r="C226" s="6" t="s">
        <v>1292</v>
      </c>
      <c r="D226" s="6" t="s">
        <v>1293</v>
      </c>
      <c r="E226" s="6" t="s">
        <v>1294</v>
      </c>
      <c r="F226" s="6"/>
      <c r="G226" s="7">
        <f>IFERROR(ROUND(M226/N226*100,2),0)</f>
      </c>
      <c r="H226" s="7">
        <f>IFERROR(ROUND(O226/P226*100,2),0)</f>
      </c>
      <c r="I226" s="6" t="s">
        <v>1295</v>
      </c>
      <c r="J226" s="6"/>
      <c r="K226" s="7">
        <v>6.04</v>
      </c>
      <c r="L226" s="6" t="s">
        <v>22</v>
      </c>
      <c r="M226" s="7">
        <v>8</v>
      </c>
      <c r="N226" s="7">
        <v>10</v>
      </c>
      <c r="O226" s="7">
        <v>0</v>
      </c>
      <c r="P226" s="7">
        <v>0</v>
      </c>
    </row>
    <row x14ac:dyDescent="0.25" r="227" customHeight="1" ht="22">
      <c r="A227" s="4" t="s">
        <v>1296</v>
      </c>
      <c r="B227" s="5" t="s">
        <v>1297</v>
      </c>
      <c r="C227" s="6" t="s">
        <v>1298</v>
      </c>
      <c r="D227" s="6" t="s">
        <v>1299</v>
      </c>
      <c r="E227" s="6" t="s">
        <v>1300</v>
      </c>
      <c r="F227" s="6"/>
      <c r="G227" s="7">
        <f>IFERROR(ROUND(M227/N227*100,2),0)</f>
      </c>
      <c r="H227" s="7">
        <f>IFERROR(ROUND(O227/P227*100,2),0)</f>
      </c>
      <c r="I227" s="6" t="s">
        <v>1301</v>
      </c>
      <c r="J227" s="6"/>
      <c r="K227" s="7">
        <v>4.5</v>
      </c>
      <c r="L227" s="6" t="s">
        <v>22</v>
      </c>
      <c r="M227" s="7">
        <v>4</v>
      </c>
      <c r="N227" s="7">
        <v>8</v>
      </c>
      <c r="O227" s="7">
        <v>0</v>
      </c>
      <c r="P227" s="7">
        <v>0</v>
      </c>
    </row>
    <row x14ac:dyDescent="0.25" r="228" customHeight="1" ht="22">
      <c r="A228" s="4" t="s">
        <v>1302</v>
      </c>
      <c r="B228" s="5" t="s">
        <v>1303</v>
      </c>
      <c r="C228" s="6" t="s">
        <v>1304</v>
      </c>
      <c r="D228" s="6" t="s">
        <v>1305</v>
      </c>
      <c r="E228" s="6" t="s">
        <v>1306</v>
      </c>
      <c r="F228" s="6"/>
      <c r="G228" s="7">
        <f>IFERROR(ROUND(M228/N228*100,2),0)</f>
      </c>
      <c r="H228" s="7">
        <f>IFERROR(ROUND(O228/P228*100,2),0)</f>
      </c>
      <c r="I228" s="6" t="s">
        <v>1307</v>
      </c>
      <c r="J228" s="6"/>
      <c r="K228" s="7">
        <v>3.65</v>
      </c>
      <c r="L228" s="6" t="s">
        <v>22</v>
      </c>
      <c r="M228" s="7">
        <v>3</v>
      </c>
      <c r="N228" s="7">
        <v>7</v>
      </c>
      <c r="O228" s="7">
        <v>0</v>
      </c>
      <c r="P228" s="7">
        <v>0</v>
      </c>
    </row>
    <row x14ac:dyDescent="0.25" r="229" customHeight="1" ht="36">
      <c r="A229" s="4" t="s">
        <v>1308</v>
      </c>
      <c r="B229" s="5" t="s">
        <v>1309</v>
      </c>
      <c r="C229" s="6" t="s">
        <v>1310</v>
      </c>
      <c r="D229" s="6" t="s">
        <v>1311</v>
      </c>
      <c r="E229" s="6" t="s">
        <v>1312</v>
      </c>
      <c r="F229" s="6"/>
      <c r="G229" s="7">
        <f>IFERROR(ROUND(M229/N229*100,2),0)</f>
      </c>
      <c r="H229" s="7">
        <f>IFERROR(ROUND(O229/P229*100,2),0)</f>
      </c>
      <c r="I229" s="6" t="s">
        <v>1313</v>
      </c>
      <c r="J229" s="6"/>
      <c r="K229" s="7">
        <v>3.72</v>
      </c>
      <c r="L229" s="6" t="s">
        <v>22</v>
      </c>
      <c r="M229" s="7">
        <v>10</v>
      </c>
      <c r="N229" s="7">
        <v>11</v>
      </c>
      <c r="O229" s="7">
        <v>0</v>
      </c>
      <c r="P229" s="7">
        <v>0</v>
      </c>
    </row>
    <row x14ac:dyDescent="0.25" r="230" customHeight="1" ht="22">
      <c r="A230" s="4" t="s">
        <v>1314</v>
      </c>
      <c r="B230" s="5" t="s">
        <v>1315</v>
      </c>
      <c r="C230" s="6" t="s">
        <v>1316</v>
      </c>
      <c r="D230" s="6" t="s">
        <v>1317</v>
      </c>
      <c r="E230" s="6" t="s">
        <v>1318</v>
      </c>
      <c r="F230" s="6"/>
      <c r="G230" s="7">
        <f>IFERROR(ROUND(M230/N230*100,2),0)</f>
      </c>
      <c r="H230" s="7">
        <f>IFERROR(ROUND(O230/P230*100,2),0)</f>
      </c>
      <c r="I230" s="6"/>
      <c r="J230" s="6"/>
      <c r="K230" s="7">
        <v>4.4</v>
      </c>
      <c r="L230" s="6" t="s">
        <v>22</v>
      </c>
      <c r="M230" s="7">
        <v>4</v>
      </c>
      <c r="N230" s="7">
        <v>4</v>
      </c>
      <c r="O230" s="7">
        <v>0</v>
      </c>
      <c r="P230" s="7">
        <v>0</v>
      </c>
    </row>
    <row x14ac:dyDescent="0.25" r="231" customHeight="1" ht="22">
      <c r="A231" s="4" t="s">
        <v>1319</v>
      </c>
      <c r="B231" s="5" t="s">
        <v>1320</v>
      </c>
      <c r="C231" s="6" t="s">
        <v>1321</v>
      </c>
      <c r="D231" s="6" t="s">
        <v>1322</v>
      </c>
      <c r="E231" s="6" t="s">
        <v>1323</v>
      </c>
      <c r="F231" s="6"/>
      <c r="G231" s="7">
        <f>IFERROR(ROUND(M231/N231*100,2),0)</f>
      </c>
      <c r="H231" s="7">
        <f>IFERROR(ROUND(O231/P231*100,2),0)</f>
      </c>
      <c r="I231" s="6"/>
      <c r="J231" s="6"/>
      <c r="K231" s="7">
        <v>3.2</v>
      </c>
      <c r="L231" s="6" t="s">
        <v>22</v>
      </c>
      <c r="M231" s="7">
        <v>4</v>
      </c>
      <c r="N231" s="7">
        <v>5</v>
      </c>
      <c r="O231" s="7">
        <v>0</v>
      </c>
      <c r="P231" s="7">
        <v>0</v>
      </c>
    </row>
    <row x14ac:dyDescent="0.25" r="232" customHeight="1" ht="22">
      <c r="A232" s="4" t="s">
        <v>1324</v>
      </c>
      <c r="B232" s="5" t="s">
        <v>1325</v>
      </c>
      <c r="C232" s="6" t="s">
        <v>1326</v>
      </c>
      <c r="D232" s="6" t="s">
        <v>1327</v>
      </c>
      <c r="E232" s="6" t="s">
        <v>1328</v>
      </c>
      <c r="F232" s="6"/>
      <c r="G232" s="7">
        <f>IFERROR(ROUND(M232/N232*100,2),0)</f>
      </c>
      <c r="H232" s="7">
        <f>IFERROR(ROUND(O232/P232*100,2),0)</f>
      </c>
      <c r="I232" s="6"/>
      <c r="J232" s="6"/>
      <c r="K232" s="7">
        <v>3.38</v>
      </c>
      <c r="L232" s="6" t="s">
        <v>22</v>
      </c>
      <c r="M232" s="7">
        <v>9</v>
      </c>
      <c r="N232" s="7">
        <v>9</v>
      </c>
      <c r="O232" s="7">
        <v>0</v>
      </c>
      <c r="P232" s="7">
        <v>0</v>
      </c>
    </row>
    <row x14ac:dyDescent="0.25" r="233" customHeight="1" ht="36">
      <c r="A233" s="4" t="s">
        <v>1329</v>
      </c>
      <c r="B233" s="5" t="s">
        <v>1330</v>
      </c>
      <c r="C233" s="6" t="s">
        <v>1331</v>
      </c>
      <c r="D233" s="6" t="s">
        <v>1332</v>
      </c>
      <c r="E233" s="6" t="s">
        <v>1333</v>
      </c>
      <c r="F233" s="6"/>
      <c r="G233" s="7">
        <f>IFERROR(ROUND(M233/N233*100,2),0)</f>
      </c>
      <c r="H233" s="7">
        <f>IFERROR(ROUND(O233/P233*100,2),0)</f>
      </c>
      <c r="I233" s="6" t="s">
        <v>1334</v>
      </c>
      <c r="J233" s="6"/>
      <c r="K233" s="7">
        <v>4.13</v>
      </c>
      <c r="L233" s="6" t="s">
        <v>22</v>
      </c>
      <c r="M233" s="7">
        <v>10</v>
      </c>
      <c r="N233" s="7">
        <v>12</v>
      </c>
      <c r="O233" s="7">
        <v>0</v>
      </c>
      <c r="P233" s="7">
        <v>0</v>
      </c>
    </row>
    <row x14ac:dyDescent="0.25" r="234" customHeight="1" ht="22">
      <c r="A234" s="4" t="s">
        <v>1335</v>
      </c>
      <c r="B234" s="5" t="s">
        <v>1336</v>
      </c>
      <c r="C234" s="6" t="s">
        <v>1337</v>
      </c>
      <c r="D234" s="6" t="s">
        <v>1338</v>
      </c>
      <c r="E234" s="6" t="s">
        <v>1338</v>
      </c>
      <c r="F234" s="6"/>
      <c r="G234" s="7">
        <f>IFERROR(ROUND(M234/N234*100,2),0)</f>
      </c>
      <c r="H234" s="7">
        <f>IFERROR(ROUND(O234/P234*100,2),0)</f>
      </c>
      <c r="I234" s="6" t="s">
        <v>1339</v>
      </c>
      <c r="J234" s="6"/>
      <c r="K234" s="7">
        <v>4.22</v>
      </c>
      <c r="L234" s="6" t="s">
        <v>22</v>
      </c>
      <c r="M234" s="7">
        <v>0</v>
      </c>
      <c r="N234" s="7">
        <v>3</v>
      </c>
      <c r="O234" s="7">
        <v>0</v>
      </c>
      <c r="P234" s="7">
        <v>0</v>
      </c>
    </row>
    <row x14ac:dyDescent="0.25" r="235" customHeight="1" ht="22">
      <c r="A235" s="4" t="s">
        <v>1340</v>
      </c>
      <c r="B235" s="5" t="s">
        <v>1341</v>
      </c>
      <c r="C235" s="6" t="s">
        <v>1342</v>
      </c>
      <c r="D235" s="6" t="s">
        <v>1343</v>
      </c>
      <c r="E235" s="6" t="s">
        <v>1344</v>
      </c>
      <c r="F235" s="6"/>
      <c r="G235" s="7">
        <f>IFERROR(ROUND(M235/N235*100,2),0)</f>
      </c>
      <c r="H235" s="7">
        <f>IFERROR(ROUND(O235/P235*100,2),0)</f>
      </c>
      <c r="I235" s="6" t="s">
        <v>1345</v>
      </c>
      <c r="J235" s="6"/>
      <c r="K235" s="7">
        <v>3.65</v>
      </c>
      <c r="L235" s="6" t="s">
        <v>22</v>
      </c>
      <c r="M235" s="7">
        <v>3</v>
      </c>
      <c r="N235" s="7">
        <v>5</v>
      </c>
      <c r="O235" s="7">
        <v>0</v>
      </c>
      <c r="P235" s="7">
        <v>0</v>
      </c>
    </row>
    <row x14ac:dyDescent="0.25" r="236" customHeight="1" ht="22">
      <c r="A236" s="4" t="s">
        <v>1346</v>
      </c>
      <c r="B236" s="5" t="s">
        <v>1347</v>
      </c>
      <c r="C236" s="6" t="s">
        <v>1348</v>
      </c>
      <c r="D236" s="6" t="s">
        <v>1349</v>
      </c>
      <c r="E236" s="6" t="s">
        <v>1350</v>
      </c>
      <c r="F236" s="6"/>
      <c r="G236" s="7">
        <f>IFERROR(ROUND(M236/N236*100,2),0)</f>
      </c>
      <c r="H236" s="7">
        <f>IFERROR(ROUND(O236/P236*100,2),0)</f>
      </c>
      <c r="I236" s="6"/>
      <c r="J236" s="6"/>
      <c r="K236" s="7">
        <v>3.27</v>
      </c>
      <c r="L236" s="6" t="s">
        <v>22</v>
      </c>
      <c r="M236" s="7">
        <v>5</v>
      </c>
      <c r="N236" s="7">
        <v>5</v>
      </c>
      <c r="O236" s="7">
        <v>0</v>
      </c>
      <c r="P236" s="7">
        <v>0</v>
      </c>
    </row>
    <row x14ac:dyDescent="0.25" r="237" customHeight="1" ht="22">
      <c r="A237" s="4" t="s">
        <v>1351</v>
      </c>
      <c r="B237" s="5" t="s">
        <v>1352</v>
      </c>
      <c r="C237" s="6" t="s">
        <v>1353</v>
      </c>
      <c r="D237" s="6" t="s">
        <v>1354</v>
      </c>
      <c r="E237" s="6" t="s">
        <v>1355</v>
      </c>
      <c r="F237" s="6"/>
      <c r="G237" s="7">
        <f>IFERROR(ROUND(M237/N237*100,2),0)</f>
      </c>
      <c r="H237" s="7">
        <f>IFERROR(ROUND(O237/P237*100,2),0)</f>
      </c>
      <c r="I237" s="6" t="s">
        <v>627</v>
      </c>
      <c r="J237" s="6"/>
      <c r="K237" s="7">
        <v>2.83</v>
      </c>
      <c r="L237" s="6" t="s">
        <v>22</v>
      </c>
      <c r="M237" s="7">
        <v>3</v>
      </c>
      <c r="N237" s="7">
        <v>4</v>
      </c>
      <c r="O237" s="7">
        <v>0</v>
      </c>
      <c r="P237" s="7">
        <v>0</v>
      </c>
    </row>
    <row x14ac:dyDescent="0.25" r="238" customHeight="1" ht="22">
      <c r="A238" s="4" t="s">
        <v>1356</v>
      </c>
      <c r="B238" s="5" t="s">
        <v>1357</v>
      </c>
      <c r="C238" s="6" t="s">
        <v>1358</v>
      </c>
      <c r="D238" s="6" t="s">
        <v>1359</v>
      </c>
      <c r="E238" s="6" t="s">
        <v>1360</v>
      </c>
      <c r="F238" s="6"/>
      <c r="G238" s="7">
        <f>IFERROR(ROUND(M238/N238*100,2),0)</f>
      </c>
      <c r="H238" s="7">
        <f>IFERROR(ROUND(O238/P238*100,2),0)</f>
      </c>
      <c r="I238" s="6" t="s">
        <v>1361</v>
      </c>
      <c r="J238" s="6"/>
      <c r="K238" s="7">
        <v>3.55</v>
      </c>
      <c r="L238" s="6" t="s">
        <v>22</v>
      </c>
      <c r="M238" s="7">
        <v>4</v>
      </c>
      <c r="N238" s="7">
        <v>5</v>
      </c>
      <c r="O238" s="7">
        <v>0</v>
      </c>
      <c r="P238" s="7">
        <v>0</v>
      </c>
    </row>
    <row x14ac:dyDescent="0.25" r="239" customHeight="1" ht="22">
      <c r="A239" s="4" t="s">
        <v>1362</v>
      </c>
      <c r="B239" s="5" t="s">
        <v>1363</v>
      </c>
      <c r="C239" s="6" t="s">
        <v>1364</v>
      </c>
      <c r="D239" s="6" t="s">
        <v>1365</v>
      </c>
      <c r="E239" s="6" t="s">
        <v>1366</v>
      </c>
      <c r="F239" s="6"/>
      <c r="G239" s="7">
        <f>IFERROR(ROUND(M239/N239*100,2),0)</f>
      </c>
      <c r="H239" s="7">
        <f>IFERROR(ROUND(O239/P239*100,2),0)</f>
      </c>
      <c r="I239" s="6" t="s">
        <v>1367</v>
      </c>
      <c r="J239" s="6"/>
      <c r="K239" s="7">
        <v>2.78</v>
      </c>
      <c r="L239" s="6" t="s">
        <v>22</v>
      </c>
      <c r="M239" s="7">
        <v>3</v>
      </c>
      <c r="N239" s="7">
        <v>4</v>
      </c>
      <c r="O239" s="7">
        <v>0</v>
      </c>
      <c r="P239" s="7">
        <v>0</v>
      </c>
    </row>
    <row x14ac:dyDescent="0.25" r="240" customHeight="1" ht="36">
      <c r="A240" s="4" t="s">
        <v>1368</v>
      </c>
      <c r="B240" s="5" t="s">
        <v>1369</v>
      </c>
      <c r="C240" s="6" t="s">
        <v>1370</v>
      </c>
      <c r="D240" s="6" t="s">
        <v>1371</v>
      </c>
      <c r="E240" s="6" t="s">
        <v>1372</v>
      </c>
      <c r="F240" s="6"/>
      <c r="G240" s="7">
        <f>IFERROR(ROUND(M240/N240*100,2),0)</f>
      </c>
      <c r="H240" s="7">
        <f>IFERROR(ROUND(O240/P240*100,2),0)</f>
      </c>
      <c r="I240" s="6" t="s">
        <v>1373</v>
      </c>
      <c r="J240" s="6"/>
      <c r="K240" s="7">
        <v>3.98</v>
      </c>
      <c r="L240" s="6" t="s">
        <v>22</v>
      </c>
      <c r="M240" s="7">
        <v>6</v>
      </c>
      <c r="N240" s="7">
        <v>12</v>
      </c>
      <c r="O240" s="7">
        <v>0</v>
      </c>
      <c r="P240" s="7">
        <v>0</v>
      </c>
    </row>
    <row x14ac:dyDescent="0.25" r="241" customHeight="1" ht="36">
      <c r="A241" s="4" t="s">
        <v>1374</v>
      </c>
      <c r="B241" s="5" t="s">
        <v>1375</v>
      </c>
      <c r="C241" s="6" t="s">
        <v>1376</v>
      </c>
      <c r="D241" s="6" t="s">
        <v>1377</v>
      </c>
      <c r="E241" s="6" t="s">
        <v>1377</v>
      </c>
      <c r="F241" s="6"/>
      <c r="G241" s="7">
        <f>IFERROR(ROUND(M241/N241*100,2),0)</f>
      </c>
      <c r="H241" s="7">
        <f>IFERROR(ROUND(O241/P241*100,2),0)</f>
      </c>
      <c r="I241" s="6" t="s">
        <v>1378</v>
      </c>
      <c r="J241" s="6"/>
      <c r="K241" s="7">
        <v>4.09</v>
      </c>
      <c r="L241" s="6" t="s">
        <v>22</v>
      </c>
      <c r="M241" s="7">
        <v>0</v>
      </c>
      <c r="N241" s="7">
        <v>17</v>
      </c>
      <c r="O241" s="7">
        <v>0</v>
      </c>
      <c r="P241" s="7">
        <v>0</v>
      </c>
    </row>
    <row x14ac:dyDescent="0.25" r="242" customHeight="1" ht="22">
      <c r="A242" s="4" t="s">
        <v>1379</v>
      </c>
      <c r="B242" s="5" t="s">
        <v>1380</v>
      </c>
      <c r="C242" s="6" t="s">
        <v>1381</v>
      </c>
      <c r="D242" s="6" t="s">
        <v>1382</v>
      </c>
      <c r="E242" s="6" t="s">
        <v>1383</v>
      </c>
      <c r="F242" s="6"/>
      <c r="G242" s="7">
        <f>IFERROR(ROUND(M242/N242*100,2),0)</f>
      </c>
      <c r="H242" s="7">
        <f>IFERROR(ROUND(O242/P242*100,2),0)</f>
      </c>
      <c r="I242" s="6"/>
      <c r="J242" s="6"/>
      <c r="K242" s="7">
        <v>3.22</v>
      </c>
      <c r="L242" s="6" t="s">
        <v>22</v>
      </c>
      <c r="M242" s="7">
        <v>7</v>
      </c>
      <c r="N242" s="7">
        <v>7</v>
      </c>
      <c r="O242" s="7">
        <v>0</v>
      </c>
      <c r="P242" s="7">
        <v>0</v>
      </c>
    </row>
    <row x14ac:dyDescent="0.25" r="243" customHeight="1" ht="36">
      <c r="A243" s="4" t="s">
        <v>1384</v>
      </c>
      <c r="B243" s="5" t="s">
        <v>1385</v>
      </c>
      <c r="C243" s="6" t="s">
        <v>1386</v>
      </c>
      <c r="D243" s="6" t="s">
        <v>1387</v>
      </c>
      <c r="E243" s="6" t="s">
        <v>1387</v>
      </c>
      <c r="F243" s="6"/>
      <c r="G243" s="7">
        <f>IFERROR(ROUND(M243/N243*100,2),0)</f>
      </c>
      <c r="H243" s="7">
        <f>IFERROR(ROUND(O243/P243*100,2),0)</f>
      </c>
      <c r="I243" s="6" t="s">
        <v>1388</v>
      </c>
      <c r="J243" s="6"/>
      <c r="K243" s="7">
        <v>3.63</v>
      </c>
      <c r="L243" s="6" t="s">
        <v>22</v>
      </c>
      <c r="M243" s="7">
        <v>0</v>
      </c>
      <c r="N243" s="7">
        <v>12</v>
      </c>
      <c r="O243" s="7">
        <v>0</v>
      </c>
      <c r="P243" s="7">
        <v>0</v>
      </c>
    </row>
    <row x14ac:dyDescent="0.25" r="244" customHeight="1" ht="22">
      <c r="A244" s="4" t="s">
        <v>1389</v>
      </c>
      <c r="B244" s="5" t="s">
        <v>1390</v>
      </c>
      <c r="C244" s="6" t="s">
        <v>1391</v>
      </c>
      <c r="D244" s="6" t="s">
        <v>1392</v>
      </c>
      <c r="E244" s="6" t="s">
        <v>1392</v>
      </c>
      <c r="F244" s="6"/>
      <c r="G244" s="7">
        <f>IFERROR(ROUND(M244/N244*100,2),0)</f>
      </c>
      <c r="H244" s="7">
        <f>IFERROR(ROUND(O244/P244*100,2),0)</f>
      </c>
      <c r="I244" s="6"/>
      <c r="J244" s="6"/>
      <c r="K244" s="7">
        <v>2.62</v>
      </c>
      <c r="L244" s="6" t="s">
        <v>22</v>
      </c>
      <c r="M244" s="7">
        <v>1</v>
      </c>
      <c r="N244" s="7">
        <v>1</v>
      </c>
      <c r="O244" s="7">
        <v>0</v>
      </c>
      <c r="P244" s="7">
        <v>0</v>
      </c>
    </row>
    <row x14ac:dyDescent="0.25" r="245" customHeight="1" ht="36">
      <c r="A245" s="4" t="s">
        <v>1393</v>
      </c>
      <c r="B245" s="5" t="s">
        <v>1394</v>
      </c>
      <c r="C245" s="6" t="s">
        <v>1395</v>
      </c>
      <c r="D245" s="6" t="s">
        <v>1396</v>
      </c>
      <c r="E245" s="6" t="s">
        <v>1397</v>
      </c>
      <c r="F245" s="6"/>
      <c r="G245" s="7">
        <f>IFERROR(ROUND(M245/N245*100,2),0)</f>
      </c>
      <c r="H245" s="7">
        <f>IFERROR(ROUND(O245/P245*100,2),0)</f>
      </c>
      <c r="I245" s="6" t="s">
        <v>1398</v>
      </c>
      <c r="J245" s="6"/>
      <c r="K245" s="7">
        <v>3.57</v>
      </c>
      <c r="L245" s="6" t="s">
        <v>22</v>
      </c>
      <c r="M245" s="7">
        <v>7</v>
      </c>
      <c r="N245" s="7">
        <v>12</v>
      </c>
      <c r="O245" s="7">
        <v>0</v>
      </c>
      <c r="P245" s="7">
        <v>0</v>
      </c>
    </row>
    <row x14ac:dyDescent="0.25" r="246" customHeight="1" ht="22">
      <c r="A246" s="4" t="s">
        <v>1399</v>
      </c>
      <c r="B246" s="5" t="s">
        <v>1400</v>
      </c>
      <c r="C246" s="6" t="s">
        <v>1401</v>
      </c>
      <c r="D246" s="6" t="s">
        <v>1402</v>
      </c>
      <c r="E246" s="6" t="s">
        <v>1403</v>
      </c>
      <c r="F246" s="6"/>
      <c r="G246" s="7">
        <f>IFERROR(ROUND(M246/N246*100,2),0)</f>
      </c>
      <c r="H246" s="7">
        <f>IFERROR(ROUND(O246/P246*100,2),0)</f>
      </c>
      <c r="I246" s="6" t="s">
        <v>1404</v>
      </c>
      <c r="J246" s="6"/>
      <c r="K246" s="7">
        <v>3.33</v>
      </c>
      <c r="L246" s="6" t="s">
        <v>22</v>
      </c>
      <c r="M246" s="7">
        <v>7</v>
      </c>
      <c r="N246" s="7">
        <v>8</v>
      </c>
      <c r="O246" s="7">
        <v>0</v>
      </c>
      <c r="P246" s="7">
        <v>0</v>
      </c>
    </row>
    <row x14ac:dyDescent="0.25" r="247" customHeight="1" ht="22">
      <c r="A247" s="4" t="s">
        <v>1405</v>
      </c>
      <c r="B247" s="5" t="s">
        <v>1406</v>
      </c>
      <c r="C247" s="6" t="s">
        <v>1407</v>
      </c>
      <c r="D247" s="6" t="s">
        <v>1408</v>
      </c>
      <c r="E247" s="6" t="s">
        <v>1409</v>
      </c>
      <c r="F247" s="6"/>
      <c r="G247" s="7">
        <f>IFERROR(ROUND(M247/N247*100,2),0)</f>
      </c>
      <c r="H247" s="7">
        <f>IFERROR(ROUND(O247/P247*100,2),0)</f>
      </c>
      <c r="I247" s="6" t="s">
        <v>1410</v>
      </c>
      <c r="J247" s="6"/>
      <c r="K247" s="7">
        <v>3.48</v>
      </c>
      <c r="L247" s="6" t="s">
        <v>22</v>
      </c>
      <c r="M247" s="7">
        <v>4</v>
      </c>
      <c r="N247" s="7">
        <v>6</v>
      </c>
      <c r="O247" s="7">
        <v>0</v>
      </c>
      <c r="P247" s="7">
        <v>0</v>
      </c>
    </row>
    <row x14ac:dyDescent="0.25" r="248" customHeight="1" ht="22">
      <c r="A248" s="4" t="s">
        <v>1411</v>
      </c>
      <c r="B248" s="5" t="s">
        <v>1412</v>
      </c>
      <c r="C248" s="6" t="s">
        <v>1413</v>
      </c>
      <c r="D248" s="6" t="s">
        <v>1414</v>
      </c>
      <c r="E248" s="6" t="s">
        <v>1414</v>
      </c>
      <c r="F248" s="6"/>
      <c r="G248" s="7">
        <f>IFERROR(ROUND(M248/N248*100,2),0)</f>
      </c>
      <c r="H248" s="7">
        <f>IFERROR(ROUND(O248/P248*100,2),0)</f>
      </c>
      <c r="I248" s="6" t="s">
        <v>1415</v>
      </c>
      <c r="J248" s="6"/>
      <c r="K248" s="7">
        <v>3.04</v>
      </c>
      <c r="L248" s="6" t="s">
        <v>22</v>
      </c>
      <c r="M248" s="7">
        <v>0</v>
      </c>
      <c r="N248" s="7">
        <v>5</v>
      </c>
      <c r="O248" s="7">
        <v>0</v>
      </c>
      <c r="P248" s="7">
        <v>0</v>
      </c>
    </row>
    <row x14ac:dyDescent="0.25" r="249" customHeight="1" ht="36">
      <c r="A249" s="4" t="s">
        <v>1416</v>
      </c>
      <c r="B249" s="5" t="s">
        <v>1417</v>
      </c>
      <c r="C249" s="6" t="s">
        <v>1418</v>
      </c>
      <c r="D249" s="6" t="s">
        <v>1419</v>
      </c>
      <c r="E249" s="6" t="s">
        <v>1420</v>
      </c>
      <c r="F249" s="6"/>
      <c r="G249" s="7">
        <f>IFERROR(ROUND(M249/N249*100,2),0)</f>
      </c>
      <c r="H249" s="7">
        <f>IFERROR(ROUND(O249/P249*100,2),0)</f>
      </c>
      <c r="I249" s="6"/>
      <c r="J249" s="6"/>
      <c r="K249" s="7">
        <v>3.82</v>
      </c>
      <c r="L249" s="6" t="s">
        <v>22</v>
      </c>
      <c r="M249" s="7">
        <v>9</v>
      </c>
      <c r="N249" s="7">
        <v>9</v>
      </c>
      <c r="O249" s="7">
        <v>0</v>
      </c>
      <c r="P249" s="7">
        <v>0</v>
      </c>
    </row>
    <row x14ac:dyDescent="0.25" r="250" customHeight="1" ht="22">
      <c r="A250" s="4" t="s">
        <v>1421</v>
      </c>
      <c r="B250" s="5" t="s">
        <v>1422</v>
      </c>
      <c r="C250" s="6" t="s">
        <v>1423</v>
      </c>
      <c r="D250" s="6" t="s">
        <v>1424</v>
      </c>
      <c r="E250" s="6" t="s">
        <v>1424</v>
      </c>
      <c r="F250" s="6"/>
      <c r="G250" s="7">
        <f>IFERROR(ROUND(M250/N250*100,2),0)</f>
      </c>
      <c r="H250" s="7">
        <f>IFERROR(ROUND(O250/P250*100,2),0)</f>
      </c>
      <c r="I250" s="6" t="s">
        <v>1425</v>
      </c>
      <c r="J250" s="6"/>
      <c r="K250" s="7">
        <v>2.78</v>
      </c>
      <c r="L250" s="6" t="s">
        <v>22</v>
      </c>
      <c r="M250" s="7">
        <v>0</v>
      </c>
      <c r="N250" s="7">
        <v>1</v>
      </c>
      <c r="O250" s="7">
        <v>0</v>
      </c>
      <c r="P250" s="7">
        <v>0</v>
      </c>
    </row>
    <row x14ac:dyDescent="0.25" r="251" customHeight="1" ht="22">
      <c r="A251" s="4" t="s">
        <v>1426</v>
      </c>
      <c r="B251" s="5" t="s">
        <v>1427</v>
      </c>
      <c r="C251" s="6" t="s">
        <v>1428</v>
      </c>
      <c r="D251" s="6" t="s">
        <v>1429</v>
      </c>
      <c r="E251" s="6" t="s">
        <v>1430</v>
      </c>
      <c r="F251" s="6"/>
      <c r="G251" s="7">
        <f>IFERROR(ROUND(M251/N251*100,2),0)</f>
      </c>
      <c r="H251" s="7">
        <f>IFERROR(ROUND(O251/P251*100,2),0)</f>
      </c>
      <c r="I251" s="6" t="s">
        <v>1431</v>
      </c>
      <c r="J251" s="6"/>
      <c r="K251" s="7">
        <v>3.28</v>
      </c>
      <c r="L251" s="6" t="s">
        <v>22</v>
      </c>
      <c r="M251" s="7">
        <v>6</v>
      </c>
      <c r="N251" s="7">
        <v>7</v>
      </c>
      <c r="O251" s="7">
        <v>0</v>
      </c>
      <c r="P251" s="7">
        <v>0</v>
      </c>
    </row>
    <row x14ac:dyDescent="0.25" r="252" customHeight="1" ht="22">
      <c r="A252" s="4" t="s">
        <v>1432</v>
      </c>
      <c r="B252" s="5" t="s">
        <v>1433</v>
      </c>
      <c r="C252" s="6" t="s">
        <v>1434</v>
      </c>
      <c r="D252" s="6" t="s">
        <v>1435</v>
      </c>
      <c r="E252" s="6" t="s">
        <v>1436</v>
      </c>
      <c r="F252" s="6"/>
      <c r="G252" s="7">
        <f>IFERROR(ROUND(M252/N252*100,2),0)</f>
      </c>
      <c r="H252" s="7">
        <f>IFERROR(ROUND(O252/P252*100,2),0)</f>
      </c>
      <c r="I252" s="6" t="s">
        <v>1437</v>
      </c>
      <c r="J252" s="6"/>
      <c r="K252" s="7">
        <v>3.35</v>
      </c>
      <c r="L252" s="6" t="s">
        <v>22</v>
      </c>
      <c r="M252" s="7">
        <v>4</v>
      </c>
      <c r="N252" s="7">
        <v>6</v>
      </c>
      <c r="O252" s="7">
        <v>0</v>
      </c>
      <c r="P252" s="7">
        <v>0</v>
      </c>
    </row>
    <row x14ac:dyDescent="0.25" r="253" customHeight="1" ht="22">
      <c r="A253" s="4" t="s">
        <v>1438</v>
      </c>
      <c r="B253" s="5" t="s">
        <v>1439</v>
      </c>
      <c r="C253" s="6" t="s">
        <v>1440</v>
      </c>
      <c r="D253" s="6" t="s">
        <v>1441</v>
      </c>
      <c r="E253" s="6" t="s">
        <v>1442</v>
      </c>
      <c r="F253" s="6"/>
      <c r="G253" s="7">
        <f>IFERROR(ROUND(M253/N253*100,2),0)</f>
      </c>
      <c r="H253" s="7">
        <f>IFERROR(ROUND(O253/P253*100,2),0)</f>
      </c>
      <c r="I253" s="6"/>
      <c r="J253" s="6"/>
      <c r="K253" s="7">
        <v>4.6</v>
      </c>
      <c r="L253" s="6" t="s">
        <v>22</v>
      </c>
      <c r="M253" s="7">
        <v>5</v>
      </c>
      <c r="N253" s="7">
        <v>6</v>
      </c>
      <c r="O253" s="7">
        <v>0</v>
      </c>
      <c r="P253" s="7">
        <v>0</v>
      </c>
    </row>
    <row x14ac:dyDescent="0.25" r="254" customHeight="1" ht="36">
      <c r="A254" s="4" t="s">
        <v>1443</v>
      </c>
      <c r="B254" s="5" t="s">
        <v>1444</v>
      </c>
      <c r="C254" s="6" t="s">
        <v>1445</v>
      </c>
      <c r="D254" s="6" t="s">
        <v>1446</v>
      </c>
      <c r="E254" s="6" t="s">
        <v>1447</v>
      </c>
      <c r="F254" s="6"/>
      <c r="G254" s="7">
        <f>IFERROR(ROUND(M254/N254*100,2),0)</f>
      </c>
      <c r="H254" s="7">
        <f>IFERROR(ROUND(O254/P254*100,2),0)</f>
      </c>
      <c r="I254" s="6" t="s">
        <v>1448</v>
      </c>
      <c r="J254" s="6"/>
      <c r="K254" s="7">
        <v>3.55</v>
      </c>
      <c r="L254" s="6" t="s">
        <v>22</v>
      </c>
      <c r="M254" s="7">
        <v>5</v>
      </c>
      <c r="N254" s="7">
        <v>9</v>
      </c>
      <c r="O254" s="7">
        <v>0</v>
      </c>
      <c r="P254" s="7">
        <v>0</v>
      </c>
    </row>
    <row x14ac:dyDescent="0.25" r="255" customHeight="1" ht="22">
      <c r="A255" s="4" t="s">
        <v>1449</v>
      </c>
      <c r="B255" s="5" t="s">
        <v>1450</v>
      </c>
      <c r="C255" s="6" t="s">
        <v>1451</v>
      </c>
      <c r="D255" s="6" t="s">
        <v>1452</v>
      </c>
      <c r="E255" s="6" t="s">
        <v>1452</v>
      </c>
      <c r="F255" s="6"/>
      <c r="G255" s="7">
        <f>IFERROR(ROUND(M255/N255*100,2),0)</f>
      </c>
      <c r="H255" s="7">
        <f>IFERROR(ROUND(O255/P255*100,2),0)</f>
      </c>
      <c r="I255" s="6" t="s">
        <v>1453</v>
      </c>
      <c r="J255" s="6"/>
      <c r="K255" s="7">
        <v>2.74</v>
      </c>
      <c r="L255" s="6" t="s">
        <v>22</v>
      </c>
      <c r="M255" s="7">
        <v>0</v>
      </c>
      <c r="N255" s="7">
        <v>4</v>
      </c>
      <c r="O255" s="7">
        <v>0</v>
      </c>
      <c r="P255" s="7">
        <v>0</v>
      </c>
    </row>
    <row x14ac:dyDescent="0.25" r="256" customHeight="1" ht="36">
      <c r="A256" s="4" t="s">
        <v>1454</v>
      </c>
      <c r="B256" s="5" t="s">
        <v>1455</v>
      </c>
      <c r="C256" s="6" t="s">
        <v>1456</v>
      </c>
      <c r="D256" s="6" t="s">
        <v>1457</v>
      </c>
      <c r="E256" s="6" t="s">
        <v>1458</v>
      </c>
      <c r="F256" s="6"/>
      <c r="G256" s="7">
        <f>IFERROR(ROUND(M256/N256*100,2),0)</f>
      </c>
      <c r="H256" s="7">
        <f>IFERROR(ROUND(O256/P256*100,2),0)</f>
      </c>
      <c r="I256" s="6" t="s">
        <v>1459</v>
      </c>
      <c r="J256" s="6"/>
      <c r="K256" s="7">
        <v>7.54</v>
      </c>
      <c r="L256" s="6" t="s">
        <v>22</v>
      </c>
      <c r="M256" s="7">
        <v>12</v>
      </c>
      <c r="N256" s="7">
        <v>15</v>
      </c>
      <c r="O256" s="7">
        <v>0</v>
      </c>
      <c r="P256" s="7">
        <v>0</v>
      </c>
    </row>
    <row x14ac:dyDescent="0.25" r="257" customHeight="1" ht="36">
      <c r="A257" s="4" t="s">
        <v>1460</v>
      </c>
      <c r="B257" s="5" t="s">
        <v>1461</v>
      </c>
      <c r="C257" s="6" t="s">
        <v>1462</v>
      </c>
      <c r="D257" s="6" t="s">
        <v>1463</v>
      </c>
      <c r="E257" s="6" t="s">
        <v>1464</v>
      </c>
      <c r="F257" s="6"/>
      <c r="G257" s="7">
        <f>IFERROR(ROUND(M257/N257*100,2),0)</f>
      </c>
      <c r="H257" s="7">
        <f>IFERROR(ROUND(O257/P257*100,2),0)</f>
      </c>
      <c r="I257" s="6" t="s">
        <v>1465</v>
      </c>
      <c r="J257" s="6"/>
      <c r="K257" s="7">
        <v>3.68</v>
      </c>
      <c r="L257" s="6" t="s">
        <v>22</v>
      </c>
      <c r="M257" s="7">
        <v>5</v>
      </c>
      <c r="N257" s="7">
        <v>10</v>
      </c>
      <c r="O257" s="7">
        <v>0</v>
      </c>
      <c r="P257" s="7">
        <v>0</v>
      </c>
    </row>
    <row x14ac:dyDescent="0.25" r="258" customHeight="1" ht="22">
      <c r="A258" s="4" t="s">
        <v>1466</v>
      </c>
      <c r="B258" s="5" t="s">
        <v>1467</v>
      </c>
      <c r="C258" s="6" t="s">
        <v>1468</v>
      </c>
      <c r="D258" s="6" t="s">
        <v>1469</v>
      </c>
      <c r="E258" s="6" t="s">
        <v>1470</v>
      </c>
      <c r="F258" s="6"/>
      <c r="G258" s="7">
        <f>IFERROR(ROUND(M258/N258*100,2),0)</f>
      </c>
      <c r="H258" s="7">
        <f>IFERROR(ROUND(O258/P258*100,2),0)</f>
      </c>
      <c r="I258" s="6" t="s">
        <v>1471</v>
      </c>
      <c r="J258" s="6"/>
      <c r="K258" s="7">
        <v>3.66</v>
      </c>
      <c r="L258" s="6" t="s">
        <v>22</v>
      </c>
      <c r="M258" s="7">
        <v>5</v>
      </c>
      <c r="N258" s="7">
        <v>6</v>
      </c>
      <c r="O258" s="7">
        <v>0</v>
      </c>
      <c r="P258" s="7">
        <v>0</v>
      </c>
    </row>
    <row x14ac:dyDescent="0.25" r="259" customHeight="1" ht="36">
      <c r="A259" s="4" t="s">
        <v>1472</v>
      </c>
      <c r="B259" s="5" t="s">
        <v>1473</v>
      </c>
      <c r="C259" s="6" t="s">
        <v>1474</v>
      </c>
      <c r="D259" s="6" t="s">
        <v>1475</v>
      </c>
      <c r="E259" s="6" t="s">
        <v>1476</v>
      </c>
      <c r="F259" s="6"/>
      <c r="G259" s="7">
        <f>IFERROR(ROUND(M259/N259*100,2),0)</f>
      </c>
      <c r="H259" s="7">
        <f>IFERROR(ROUND(O259/P259*100,2),0)</f>
      </c>
      <c r="I259" s="6" t="s">
        <v>1477</v>
      </c>
      <c r="J259" s="6"/>
      <c r="K259" s="7">
        <v>5.17</v>
      </c>
      <c r="L259" s="6" t="s">
        <v>22</v>
      </c>
      <c r="M259" s="7">
        <v>9</v>
      </c>
      <c r="N259" s="7">
        <v>12</v>
      </c>
      <c r="O259" s="7">
        <v>0</v>
      </c>
      <c r="P259" s="7">
        <v>0</v>
      </c>
    </row>
    <row x14ac:dyDescent="0.25" r="260" customHeight="1" ht="22">
      <c r="A260" s="4" t="s">
        <v>1478</v>
      </c>
      <c r="B260" s="5" t="s">
        <v>1479</v>
      </c>
      <c r="C260" s="6" t="s">
        <v>1480</v>
      </c>
      <c r="D260" s="6" t="s">
        <v>1481</v>
      </c>
      <c r="E260" s="6" t="s">
        <v>1482</v>
      </c>
      <c r="F260" s="6"/>
      <c r="G260" s="7">
        <f>IFERROR(ROUND(M260/N260*100,2),0)</f>
      </c>
      <c r="H260" s="7">
        <f>IFERROR(ROUND(O260/P260*100,2),0)</f>
      </c>
      <c r="I260" s="6" t="s">
        <v>1483</v>
      </c>
      <c r="J260" s="6"/>
      <c r="K260" s="7">
        <v>3.21</v>
      </c>
      <c r="L260" s="6" t="s">
        <v>22</v>
      </c>
      <c r="M260" s="7">
        <v>5</v>
      </c>
      <c r="N260" s="7">
        <v>7</v>
      </c>
      <c r="O260" s="7">
        <v>0</v>
      </c>
      <c r="P260" s="7">
        <v>0</v>
      </c>
    </row>
    <row x14ac:dyDescent="0.25" r="261" customHeight="1" ht="36">
      <c r="A261" s="4" t="s">
        <v>1484</v>
      </c>
      <c r="B261" s="5" t="s">
        <v>1485</v>
      </c>
      <c r="C261" s="6" t="s">
        <v>1486</v>
      </c>
      <c r="D261" s="6" t="s">
        <v>1487</v>
      </c>
      <c r="E261" s="6" t="s">
        <v>1488</v>
      </c>
      <c r="F261" s="6"/>
      <c r="G261" s="7">
        <f>IFERROR(ROUND(M261/N261*100,2),0)</f>
      </c>
      <c r="H261" s="7">
        <f>IFERROR(ROUND(O261/P261*100,2),0)</f>
      </c>
      <c r="I261" s="6" t="s">
        <v>1489</v>
      </c>
      <c r="J261" s="6"/>
      <c r="K261" s="7">
        <v>3.57</v>
      </c>
      <c r="L261" s="6" t="s">
        <v>22</v>
      </c>
      <c r="M261" s="7">
        <v>9</v>
      </c>
      <c r="N261" s="7">
        <v>13</v>
      </c>
      <c r="O261" s="7">
        <v>0</v>
      </c>
      <c r="P261" s="7">
        <v>0</v>
      </c>
    </row>
    <row x14ac:dyDescent="0.25" r="262" customHeight="1" ht="22">
      <c r="A262" s="4" t="s">
        <v>1490</v>
      </c>
      <c r="B262" s="5" t="s">
        <v>1491</v>
      </c>
      <c r="C262" s="6" t="s">
        <v>1492</v>
      </c>
      <c r="D262" s="6" t="s">
        <v>1493</v>
      </c>
      <c r="E262" s="6" t="s">
        <v>1494</v>
      </c>
      <c r="F262" s="6"/>
      <c r="G262" s="7">
        <f>IFERROR(ROUND(M262/N262*100,2),0)</f>
      </c>
      <c r="H262" s="7">
        <f>IFERROR(ROUND(O262/P262*100,2),0)</f>
      </c>
      <c r="I262" s="6" t="s">
        <v>1495</v>
      </c>
      <c r="J262" s="6"/>
      <c r="K262" s="7">
        <v>2.91</v>
      </c>
      <c r="L262" s="6" t="s">
        <v>22</v>
      </c>
      <c r="M262" s="7">
        <v>2</v>
      </c>
      <c r="N262" s="7">
        <v>3</v>
      </c>
      <c r="O262" s="7">
        <v>0</v>
      </c>
      <c r="P262" s="7">
        <v>0</v>
      </c>
    </row>
    <row x14ac:dyDescent="0.25" r="263" customHeight="1" ht="36">
      <c r="A263" s="4" t="s">
        <v>1496</v>
      </c>
      <c r="B263" s="5" t="s">
        <v>1497</v>
      </c>
      <c r="C263" s="6" t="s">
        <v>1498</v>
      </c>
      <c r="D263" s="6" t="s">
        <v>1499</v>
      </c>
      <c r="E263" s="6" t="s">
        <v>1500</v>
      </c>
      <c r="F263" s="6"/>
      <c r="G263" s="7">
        <f>IFERROR(ROUND(M263/N263*100,2),0)</f>
      </c>
      <c r="H263" s="7">
        <f>IFERROR(ROUND(O263/P263*100,2),0)</f>
      </c>
      <c r="I263" s="6" t="s">
        <v>1501</v>
      </c>
      <c r="J263" s="6"/>
      <c r="K263" s="7">
        <v>4.09</v>
      </c>
      <c r="L263" s="6" t="s">
        <v>22</v>
      </c>
      <c r="M263" s="7">
        <v>3</v>
      </c>
      <c r="N263" s="7">
        <v>12</v>
      </c>
      <c r="O263" s="7">
        <v>0</v>
      </c>
      <c r="P263" s="7">
        <v>0</v>
      </c>
    </row>
    <row x14ac:dyDescent="0.25" r="264" customHeight="1" ht="22">
      <c r="A264" s="4" t="s">
        <v>1502</v>
      </c>
      <c r="B264" s="5" t="s">
        <v>1503</v>
      </c>
      <c r="C264" s="6" t="s">
        <v>1504</v>
      </c>
      <c r="D264" s="6" t="s">
        <v>1505</v>
      </c>
      <c r="E264" s="6" t="s">
        <v>1506</v>
      </c>
      <c r="F264" s="6"/>
      <c r="G264" s="7">
        <f>IFERROR(ROUND(M264/N264*100,2),0)</f>
      </c>
      <c r="H264" s="7">
        <f>IFERROR(ROUND(O264/P264*100,2),0)</f>
      </c>
      <c r="I264" s="6" t="s">
        <v>1507</v>
      </c>
      <c r="J264" s="6"/>
      <c r="K264" s="7">
        <v>2.68</v>
      </c>
      <c r="L264" s="6" t="s">
        <v>22</v>
      </c>
      <c r="M264" s="7">
        <v>2</v>
      </c>
      <c r="N264" s="7">
        <v>3</v>
      </c>
      <c r="O264" s="7">
        <v>0</v>
      </c>
      <c r="P264" s="7">
        <v>0</v>
      </c>
    </row>
    <row x14ac:dyDescent="0.25" r="265" customHeight="1" ht="22">
      <c r="A265" s="4" t="s">
        <v>1508</v>
      </c>
      <c r="B265" s="5" t="s">
        <v>1509</v>
      </c>
      <c r="C265" s="6" t="s">
        <v>1510</v>
      </c>
      <c r="D265" s="6" t="s">
        <v>1511</v>
      </c>
      <c r="E265" s="6" t="s">
        <v>1512</v>
      </c>
      <c r="F265" s="6"/>
      <c r="G265" s="7">
        <f>IFERROR(ROUND(M265/N265*100,2),0)</f>
      </c>
      <c r="H265" s="7">
        <f>IFERROR(ROUND(O265/P265*100,2),0)</f>
      </c>
      <c r="I265" s="6" t="s">
        <v>1513</v>
      </c>
      <c r="J265" s="6"/>
      <c r="K265" s="7">
        <v>3.65</v>
      </c>
      <c r="L265" s="6" t="s">
        <v>22</v>
      </c>
      <c r="M265" s="7">
        <v>7</v>
      </c>
      <c r="N265" s="7">
        <v>8</v>
      </c>
      <c r="O265" s="7">
        <v>0</v>
      </c>
      <c r="P265" s="7">
        <v>0</v>
      </c>
    </row>
    <row x14ac:dyDescent="0.25" r="266" customHeight="1" ht="22">
      <c r="A266" s="4" t="s">
        <v>1514</v>
      </c>
      <c r="B266" s="5" t="s">
        <v>1515</v>
      </c>
      <c r="C266" s="6" t="s">
        <v>1516</v>
      </c>
      <c r="D266" s="6" t="s">
        <v>1517</v>
      </c>
      <c r="E266" s="6" t="s">
        <v>1518</v>
      </c>
      <c r="F266" s="6"/>
      <c r="G266" s="7">
        <f>IFERROR(ROUND(M266/N266*100,2),0)</f>
      </c>
      <c r="H266" s="7">
        <f>IFERROR(ROUND(O266/P266*100,2),0)</f>
      </c>
      <c r="I266" s="6" t="s">
        <v>507</v>
      </c>
      <c r="J266" s="6"/>
      <c r="K266" s="7">
        <v>3.11</v>
      </c>
      <c r="L266" s="6" t="s">
        <v>22</v>
      </c>
      <c r="M266" s="7">
        <v>3</v>
      </c>
      <c r="N266" s="7">
        <v>4</v>
      </c>
      <c r="O266" s="7">
        <v>0</v>
      </c>
      <c r="P266" s="7">
        <v>0</v>
      </c>
    </row>
    <row x14ac:dyDescent="0.25" r="267" customHeight="1" ht="36">
      <c r="A267" s="4" t="s">
        <v>1519</v>
      </c>
      <c r="B267" s="5" t="s">
        <v>1520</v>
      </c>
      <c r="C267" s="6" t="s">
        <v>1521</v>
      </c>
      <c r="D267" s="6" t="s">
        <v>1522</v>
      </c>
      <c r="E267" s="6" t="s">
        <v>1523</v>
      </c>
      <c r="F267" s="6"/>
      <c r="G267" s="7">
        <f>IFERROR(ROUND(M267/N267*100,2),0)</f>
      </c>
      <c r="H267" s="7">
        <f>IFERROR(ROUND(O267/P267*100,2),0)</f>
      </c>
      <c r="I267" s="6" t="s">
        <v>1524</v>
      </c>
      <c r="J267" s="6"/>
      <c r="K267" s="7">
        <v>3.52</v>
      </c>
      <c r="L267" s="6" t="s">
        <v>22</v>
      </c>
      <c r="M267" s="7">
        <v>7</v>
      </c>
      <c r="N267" s="7">
        <v>9</v>
      </c>
      <c r="O267" s="7">
        <v>0</v>
      </c>
      <c r="P267" s="7">
        <v>0</v>
      </c>
    </row>
    <row x14ac:dyDescent="0.25" r="268" customHeight="1" ht="36">
      <c r="A268" s="4" t="s">
        <v>1525</v>
      </c>
      <c r="B268" s="5" t="s">
        <v>1526</v>
      </c>
      <c r="C268" s="6" t="s">
        <v>1527</v>
      </c>
      <c r="D268" s="6" t="s">
        <v>1528</v>
      </c>
      <c r="E268" s="6" t="s">
        <v>1529</v>
      </c>
      <c r="F268" s="6"/>
      <c r="G268" s="7">
        <f>IFERROR(ROUND(M268/N268*100,2),0)</f>
      </c>
      <c r="H268" s="7">
        <f>IFERROR(ROUND(O268/P268*100,2),0)</f>
      </c>
      <c r="I268" s="6" t="s">
        <v>1530</v>
      </c>
      <c r="J268" s="6"/>
      <c r="K268" s="7">
        <v>5.7</v>
      </c>
      <c r="L268" s="6" t="s">
        <v>22</v>
      </c>
      <c r="M268" s="7">
        <v>6</v>
      </c>
      <c r="N268" s="7">
        <v>9</v>
      </c>
      <c r="O268" s="7">
        <v>0</v>
      </c>
      <c r="P268" s="7">
        <v>0</v>
      </c>
    </row>
    <row x14ac:dyDescent="0.25" r="269" customHeight="1" ht="22">
      <c r="A269" s="4" t="s">
        <v>1531</v>
      </c>
      <c r="B269" s="5" t="s">
        <v>1532</v>
      </c>
      <c r="C269" s="6" t="s">
        <v>1533</v>
      </c>
      <c r="D269" s="6" t="s">
        <v>1534</v>
      </c>
      <c r="E269" s="6" t="s">
        <v>1534</v>
      </c>
      <c r="F269" s="6"/>
      <c r="G269" s="7">
        <f>IFERROR(ROUND(M269/N269*100,2),0)</f>
      </c>
      <c r="H269" s="7">
        <f>IFERROR(ROUND(O269/P269*100,2),0)</f>
      </c>
      <c r="I269" s="6" t="s">
        <v>1535</v>
      </c>
      <c r="J269" s="6"/>
      <c r="K269" s="7">
        <v>2.66</v>
      </c>
      <c r="L269" s="6" t="s">
        <v>22</v>
      </c>
      <c r="M269" s="7">
        <v>0</v>
      </c>
      <c r="N269" s="7">
        <v>1</v>
      </c>
      <c r="O269" s="7">
        <v>0</v>
      </c>
      <c r="P269" s="7">
        <v>0</v>
      </c>
    </row>
    <row x14ac:dyDescent="0.25" r="270" customHeight="1" ht="22">
      <c r="A270" s="4" t="s">
        <v>1536</v>
      </c>
      <c r="B270" s="5" t="s">
        <v>1537</v>
      </c>
      <c r="C270" s="6" t="s">
        <v>1538</v>
      </c>
      <c r="D270" s="6" t="s">
        <v>1539</v>
      </c>
      <c r="E270" s="6" t="s">
        <v>1540</v>
      </c>
      <c r="F270" s="6"/>
      <c r="G270" s="7">
        <f>IFERROR(ROUND(M270/N270*100,2),0)</f>
      </c>
      <c r="H270" s="7">
        <f>IFERROR(ROUND(O270/P270*100,2),0)</f>
      </c>
      <c r="I270" s="6" t="s">
        <v>1541</v>
      </c>
      <c r="J270" s="6"/>
      <c r="K270" s="7">
        <v>2.99</v>
      </c>
      <c r="L270" s="6" t="s">
        <v>22</v>
      </c>
      <c r="M270" s="7">
        <v>7</v>
      </c>
      <c r="N270" s="7">
        <v>9</v>
      </c>
      <c r="O270" s="7">
        <v>0</v>
      </c>
      <c r="P270" s="7">
        <v>0</v>
      </c>
    </row>
    <row x14ac:dyDescent="0.25" r="271" customHeight="1" ht="22">
      <c r="A271" s="4" t="s">
        <v>1542</v>
      </c>
      <c r="B271" s="5" t="s">
        <v>1543</v>
      </c>
      <c r="C271" s="6" t="s">
        <v>1544</v>
      </c>
      <c r="D271" s="6" t="s">
        <v>1545</v>
      </c>
      <c r="E271" s="6" t="s">
        <v>1546</v>
      </c>
      <c r="F271" s="6"/>
      <c r="G271" s="7">
        <f>IFERROR(ROUND(M271/N271*100,2),0)</f>
      </c>
      <c r="H271" s="7">
        <f>IFERROR(ROUND(O271/P271*100,2),0)</f>
      </c>
      <c r="I271" s="6"/>
      <c r="J271" s="6"/>
      <c r="K271" s="7">
        <v>2.85</v>
      </c>
      <c r="L271" s="6" t="s">
        <v>22</v>
      </c>
      <c r="M271" s="7">
        <v>2</v>
      </c>
      <c r="N271" s="7">
        <v>3</v>
      </c>
      <c r="O271" s="7">
        <v>0</v>
      </c>
      <c r="P271" s="7">
        <v>0</v>
      </c>
    </row>
    <row x14ac:dyDescent="0.25" r="272" customHeight="1" ht="54">
      <c r="A272" s="4" t="s">
        <v>1547</v>
      </c>
      <c r="B272" s="5" t="s">
        <v>1548</v>
      </c>
      <c r="C272" s="6" t="s">
        <v>1549</v>
      </c>
      <c r="D272" s="6" t="s">
        <v>1550</v>
      </c>
      <c r="E272" s="6" t="s">
        <v>1551</v>
      </c>
      <c r="F272" s="6"/>
      <c r="G272" s="7">
        <f>IFERROR(ROUND(M272/N272*100,2),0)</f>
      </c>
      <c r="H272" s="7">
        <f>IFERROR(ROUND(O272/P272*100,2),0)</f>
      </c>
      <c r="I272" s="6" t="s">
        <v>1552</v>
      </c>
      <c r="J272" s="6"/>
      <c r="K272" s="7">
        <v>4.31</v>
      </c>
      <c r="L272" s="6" t="s">
        <v>22</v>
      </c>
      <c r="M272" s="7">
        <v>11</v>
      </c>
      <c r="N272" s="7">
        <v>18</v>
      </c>
      <c r="O272" s="7">
        <v>0</v>
      </c>
      <c r="P272" s="7">
        <v>0</v>
      </c>
    </row>
    <row x14ac:dyDescent="0.25" r="273" customHeight="1" ht="36">
      <c r="A273" s="4" t="s">
        <v>1553</v>
      </c>
      <c r="B273" s="5" t="s">
        <v>1554</v>
      </c>
      <c r="C273" s="6" t="s">
        <v>1555</v>
      </c>
      <c r="D273" s="6" t="s">
        <v>1556</v>
      </c>
      <c r="E273" s="6" t="s">
        <v>1557</v>
      </c>
      <c r="F273" s="6"/>
      <c r="G273" s="7">
        <f>IFERROR(ROUND(M273/N273*100,2),0)</f>
      </c>
      <c r="H273" s="7">
        <f>IFERROR(ROUND(O273/P273*100,2),0)</f>
      </c>
      <c r="I273" s="6" t="s">
        <v>1558</v>
      </c>
      <c r="J273" s="6"/>
      <c r="K273" s="7">
        <v>3.9</v>
      </c>
      <c r="L273" s="6" t="s">
        <v>22</v>
      </c>
      <c r="M273" s="7">
        <v>4</v>
      </c>
      <c r="N273" s="7">
        <v>9</v>
      </c>
      <c r="O273" s="7">
        <v>0</v>
      </c>
      <c r="P273" s="7">
        <v>0</v>
      </c>
    </row>
    <row x14ac:dyDescent="0.25" r="274" customHeight="1" ht="54">
      <c r="A274" s="4" t="s">
        <v>1559</v>
      </c>
      <c r="B274" s="5" t="s">
        <v>1560</v>
      </c>
      <c r="C274" s="6" t="s">
        <v>1561</v>
      </c>
      <c r="D274" s="6" t="s">
        <v>1562</v>
      </c>
      <c r="E274" s="6" t="s">
        <v>1563</v>
      </c>
      <c r="F274" s="6"/>
      <c r="G274" s="7">
        <f>IFERROR(ROUND(M274/N274*100,2),0)</f>
      </c>
      <c r="H274" s="7">
        <f>IFERROR(ROUND(O274/P274*100,2),0)</f>
      </c>
      <c r="I274" s="6" t="s">
        <v>1564</v>
      </c>
      <c r="J274" s="6"/>
      <c r="K274" s="7">
        <v>4.02</v>
      </c>
      <c r="L274" s="6" t="s">
        <v>22</v>
      </c>
      <c r="M274" s="7">
        <v>12</v>
      </c>
      <c r="N274" s="7">
        <v>21</v>
      </c>
      <c r="O274" s="7">
        <v>0</v>
      </c>
      <c r="P274" s="7">
        <v>0</v>
      </c>
    </row>
    <row x14ac:dyDescent="0.25" r="275" customHeight="1" ht="22">
      <c r="A275" s="4" t="s">
        <v>1565</v>
      </c>
      <c r="B275" s="5" t="s">
        <v>1566</v>
      </c>
      <c r="C275" s="6" t="s">
        <v>1567</v>
      </c>
      <c r="D275" s="6" t="s">
        <v>1568</v>
      </c>
      <c r="E275" s="6" t="s">
        <v>1569</v>
      </c>
      <c r="F275" s="6"/>
      <c r="G275" s="7">
        <f>IFERROR(ROUND(M275/N275*100,2),0)</f>
      </c>
      <c r="H275" s="7">
        <f>IFERROR(ROUND(O275/P275*100,2),0)</f>
      </c>
      <c r="I275" s="6" t="s">
        <v>1570</v>
      </c>
      <c r="J275" s="6"/>
      <c r="K275" s="7">
        <v>3.02</v>
      </c>
      <c r="L275" s="6" t="s">
        <v>22</v>
      </c>
      <c r="M275" s="7">
        <v>2</v>
      </c>
      <c r="N275" s="7">
        <v>4</v>
      </c>
      <c r="O275" s="7">
        <v>0</v>
      </c>
      <c r="P275" s="7">
        <v>0</v>
      </c>
    </row>
    <row x14ac:dyDescent="0.25" r="276" customHeight="1" ht="22">
      <c r="A276" s="4" t="s">
        <v>1571</v>
      </c>
      <c r="B276" s="5" t="s">
        <v>1572</v>
      </c>
      <c r="C276" s="6" t="s">
        <v>1573</v>
      </c>
      <c r="D276" s="6" t="s">
        <v>1574</v>
      </c>
      <c r="E276" s="6" t="s">
        <v>1575</v>
      </c>
      <c r="F276" s="6"/>
      <c r="G276" s="7">
        <f>IFERROR(ROUND(M276/N276*100,2),0)</f>
      </c>
      <c r="H276" s="7">
        <f>IFERROR(ROUND(O276/P276*100,2),0)</f>
      </c>
      <c r="I276" s="6"/>
      <c r="J276" s="6"/>
      <c r="K276" s="7">
        <v>3.47</v>
      </c>
      <c r="L276" s="6" t="s">
        <v>22</v>
      </c>
      <c r="M276" s="7">
        <v>5</v>
      </c>
      <c r="N276" s="7">
        <v>6</v>
      </c>
      <c r="O276" s="7">
        <v>0</v>
      </c>
      <c r="P276" s="7">
        <v>0</v>
      </c>
    </row>
    <row x14ac:dyDescent="0.25" r="277" customHeight="1" ht="22">
      <c r="A277" s="4" t="s">
        <v>1576</v>
      </c>
      <c r="B277" s="5" t="s">
        <v>1577</v>
      </c>
      <c r="C277" s="6" t="s">
        <v>1578</v>
      </c>
      <c r="D277" s="6" t="s">
        <v>1579</v>
      </c>
      <c r="E277" s="6" t="s">
        <v>1580</v>
      </c>
      <c r="F277" s="6"/>
      <c r="G277" s="7">
        <f>IFERROR(ROUND(M277/N277*100,2),0)</f>
      </c>
      <c r="H277" s="7">
        <f>IFERROR(ROUND(O277/P277*100,2),0)</f>
      </c>
      <c r="I277" s="6" t="s">
        <v>1581</v>
      </c>
      <c r="J277" s="6"/>
      <c r="K277" s="7">
        <v>3.02</v>
      </c>
      <c r="L277" s="6" t="s">
        <v>22</v>
      </c>
      <c r="M277" s="7">
        <v>4</v>
      </c>
      <c r="N277" s="7">
        <v>6</v>
      </c>
      <c r="O277" s="7">
        <v>0</v>
      </c>
      <c r="P277" s="7">
        <v>0</v>
      </c>
    </row>
    <row x14ac:dyDescent="0.25" r="278" customHeight="1" ht="36">
      <c r="A278" s="4" t="s">
        <v>1582</v>
      </c>
      <c r="B278" s="5" t="s">
        <v>1583</v>
      </c>
      <c r="C278" s="6" t="s">
        <v>1584</v>
      </c>
      <c r="D278" s="6" t="s">
        <v>1585</v>
      </c>
      <c r="E278" s="6" t="s">
        <v>1586</v>
      </c>
      <c r="F278" s="6"/>
      <c r="G278" s="7">
        <f>IFERROR(ROUND(M278/N278*100,2),0)</f>
      </c>
      <c r="H278" s="7">
        <f>IFERROR(ROUND(O278/P278*100,2),0)</f>
      </c>
      <c r="I278" s="6" t="s">
        <v>1587</v>
      </c>
      <c r="J278" s="6"/>
      <c r="K278" s="7">
        <v>6.44</v>
      </c>
      <c r="L278" s="6" t="s">
        <v>22</v>
      </c>
      <c r="M278" s="7">
        <v>10</v>
      </c>
      <c r="N278" s="7">
        <v>11</v>
      </c>
      <c r="O278" s="7">
        <v>0</v>
      </c>
      <c r="P278" s="7">
        <v>0</v>
      </c>
    </row>
    <row x14ac:dyDescent="0.25" r="279" customHeight="1" ht="36">
      <c r="A279" s="4" t="s">
        <v>1588</v>
      </c>
      <c r="B279" s="5" t="s">
        <v>1589</v>
      </c>
      <c r="C279" s="6" t="s">
        <v>1590</v>
      </c>
      <c r="D279" s="6" t="s">
        <v>1591</v>
      </c>
      <c r="E279" s="6" t="s">
        <v>1592</v>
      </c>
      <c r="F279" s="6"/>
      <c r="G279" s="7">
        <f>IFERROR(ROUND(M279/N279*100,2),0)</f>
      </c>
      <c r="H279" s="7">
        <f>IFERROR(ROUND(O279/P279*100,2),0)</f>
      </c>
      <c r="I279" s="6" t="s">
        <v>1593</v>
      </c>
      <c r="J279" s="6"/>
      <c r="K279" s="7">
        <v>6</v>
      </c>
      <c r="L279" s="6" t="s">
        <v>22</v>
      </c>
      <c r="M279" s="7">
        <v>9</v>
      </c>
      <c r="N279" s="7">
        <v>12</v>
      </c>
      <c r="O279" s="7">
        <v>0</v>
      </c>
      <c r="P279" s="7">
        <v>0</v>
      </c>
    </row>
    <row x14ac:dyDescent="0.25" r="280" customHeight="1" ht="36">
      <c r="A280" s="4" t="s">
        <v>1594</v>
      </c>
      <c r="B280" s="5" t="s">
        <v>1595</v>
      </c>
      <c r="C280" s="6" t="s">
        <v>1596</v>
      </c>
      <c r="D280" s="6" t="s">
        <v>1597</v>
      </c>
      <c r="E280" s="6" t="s">
        <v>1598</v>
      </c>
      <c r="F280" s="6"/>
      <c r="G280" s="7">
        <f>IFERROR(ROUND(M280/N280*100,2),0)</f>
      </c>
      <c r="H280" s="7">
        <f>IFERROR(ROUND(O280/P280*100,2),0)</f>
      </c>
      <c r="I280" s="6" t="s">
        <v>1599</v>
      </c>
      <c r="J280" s="6"/>
      <c r="K280" s="7">
        <v>8.25</v>
      </c>
      <c r="L280" s="6" t="s">
        <v>22</v>
      </c>
      <c r="M280" s="7">
        <v>3</v>
      </c>
      <c r="N280" s="7">
        <v>8</v>
      </c>
      <c r="O280" s="7">
        <v>0</v>
      </c>
      <c r="P280" s="7">
        <v>0</v>
      </c>
    </row>
    <row x14ac:dyDescent="0.25" r="281" customHeight="1" ht="22">
      <c r="A281" s="4" t="s">
        <v>1600</v>
      </c>
      <c r="B281" s="5" t="s">
        <v>1601</v>
      </c>
      <c r="C281" s="6" t="s">
        <v>1602</v>
      </c>
      <c r="D281" s="6" t="s">
        <v>1603</v>
      </c>
      <c r="E281" s="6" t="s">
        <v>1604</v>
      </c>
      <c r="F281" s="6"/>
      <c r="G281" s="7">
        <f>IFERROR(ROUND(M281/N281*100,2),0)</f>
      </c>
      <c r="H281" s="7">
        <f>IFERROR(ROUND(O281/P281*100,2),0)</f>
      </c>
      <c r="I281" s="6" t="s">
        <v>1605</v>
      </c>
      <c r="J281" s="6"/>
      <c r="K281" s="7">
        <v>11.16</v>
      </c>
      <c r="L281" s="6" t="s">
        <v>22</v>
      </c>
      <c r="M281" s="7">
        <v>5</v>
      </c>
      <c r="N281" s="7">
        <v>6</v>
      </c>
      <c r="O281" s="7">
        <v>0</v>
      </c>
      <c r="P281" s="7">
        <v>0</v>
      </c>
    </row>
    <row x14ac:dyDescent="0.25" r="282" customHeight="1" ht="22">
      <c r="A282" s="4" t="s">
        <v>1606</v>
      </c>
      <c r="B282" s="5" t="s">
        <v>1607</v>
      </c>
      <c r="C282" s="6" t="s">
        <v>1608</v>
      </c>
      <c r="D282" s="6" t="s">
        <v>1609</v>
      </c>
      <c r="E282" s="6" t="s">
        <v>1610</v>
      </c>
      <c r="F282" s="6"/>
      <c r="G282" s="7">
        <f>IFERROR(ROUND(M282/N282*100,2),0)</f>
      </c>
      <c r="H282" s="7">
        <f>IFERROR(ROUND(O282/P282*100,2),0)</f>
      </c>
      <c r="I282" s="6" t="s">
        <v>1611</v>
      </c>
      <c r="J282" s="6"/>
      <c r="K282" s="7">
        <v>8.23</v>
      </c>
      <c r="L282" s="6" t="s">
        <v>22</v>
      </c>
      <c r="M282" s="7">
        <v>4</v>
      </c>
      <c r="N282" s="7">
        <v>7</v>
      </c>
      <c r="O282" s="7">
        <v>0</v>
      </c>
      <c r="P282" s="7">
        <v>0</v>
      </c>
    </row>
    <row x14ac:dyDescent="0.25" r="283" customHeight="1" ht="36">
      <c r="A283" s="4" t="s">
        <v>1612</v>
      </c>
      <c r="B283" s="5" t="s">
        <v>1613</v>
      </c>
      <c r="C283" s="6" t="s">
        <v>1614</v>
      </c>
      <c r="D283" s="6" t="s">
        <v>1615</v>
      </c>
      <c r="E283" s="6" t="s">
        <v>1616</v>
      </c>
      <c r="F283" s="6"/>
      <c r="G283" s="7">
        <f>IFERROR(ROUND(M283/N283*100,2),0)</f>
      </c>
      <c r="H283" s="7">
        <f>IFERROR(ROUND(O283/P283*100,2),0)</f>
      </c>
      <c r="I283" s="6" t="s">
        <v>1617</v>
      </c>
      <c r="J283" s="6"/>
      <c r="K283" s="7">
        <v>4.89</v>
      </c>
      <c r="L283" s="6" t="s">
        <v>22</v>
      </c>
      <c r="M283" s="7">
        <v>11</v>
      </c>
      <c r="N283" s="7">
        <v>16</v>
      </c>
      <c r="O283" s="7">
        <v>0</v>
      </c>
      <c r="P283" s="7">
        <v>0</v>
      </c>
    </row>
    <row x14ac:dyDescent="0.25" r="284" customHeight="1" ht="36">
      <c r="A284" s="4" t="s">
        <v>1618</v>
      </c>
      <c r="B284" s="5" t="s">
        <v>1619</v>
      </c>
      <c r="C284" s="6" t="s">
        <v>1620</v>
      </c>
      <c r="D284" s="6" t="s">
        <v>1621</v>
      </c>
      <c r="E284" s="6" t="s">
        <v>1622</v>
      </c>
      <c r="F284" s="6"/>
      <c r="G284" s="7">
        <f>IFERROR(ROUND(M284/N284*100,2),0)</f>
      </c>
      <c r="H284" s="7">
        <f>IFERROR(ROUND(O284/P284*100,2),0)</f>
      </c>
      <c r="I284" s="6" t="s">
        <v>1623</v>
      </c>
      <c r="J284" s="6"/>
      <c r="K284" s="7">
        <v>13.18</v>
      </c>
      <c r="L284" s="6" t="s">
        <v>22</v>
      </c>
      <c r="M284" s="7">
        <v>6</v>
      </c>
      <c r="N284" s="7">
        <v>12</v>
      </c>
      <c r="O284" s="7">
        <v>0</v>
      </c>
      <c r="P284" s="7">
        <v>0</v>
      </c>
    </row>
    <row x14ac:dyDescent="0.25" r="285" customHeight="1" ht="22">
      <c r="A285" s="4" t="s">
        <v>1624</v>
      </c>
      <c r="B285" s="5" t="s">
        <v>1625</v>
      </c>
      <c r="C285" s="6" t="s">
        <v>1626</v>
      </c>
      <c r="D285" s="6" t="s">
        <v>1627</v>
      </c>
      <c r="E285" s="6" t="s">
        <v>1628</v>
      </c>
      <c r="F285" s="6"/>
      <c r="G285" s="7">
        <f>IFERROR(ROUND(M285/N285*100,2),0)</f>
      </c>
      <c r="H285" s="7">
        <f>IFERROR(ROUND(O285/P285*100,2),0)</f>
      </c>
      <c r="I285" s="6" t="s">
        <v>1629</v>
      </c>
      <c r="J285" s="6"/>
      <c r="K285" s="7">
        <v>5.96</v>
      </c>
      <c r="L285" s="6" t="s">
        <v>22</v>
      </c>
      <c r="M285" s="7">
        <v>4</v>
      </c>
      <c r="N285" s="7">
        <v>7</v>
      </c>
      <c r="O285" s="7">
        <v>0</v>
      </c>
      <c r="P285" s="7">
        <v>0</v>
      </c>
    </row>
    <row x14ac:dyDescent="0.25" r="286" customHeight="1" ht="22">
      <c r="A286" s="4" t="s">
        <v>1630</v>
      </c>
      <c r="B286" s="5" t="s">
        <v>1631</v>
      </c>
      <c r="C286" s="6" t="s">
        <v>1631</v>
      </c>
      <c r="D286" s="6" t="s">
        <v>1632</v>
      </c>
      <c r="E286" s="6" t="s">
        <v>1633</v>
      </c>
      <c r="F286" s="6"/>
      <c r="G286" s="7">
        <f>IFERROR(ROUND(M286/N286*100,2),0)</f>
      </c>
      <c r="H286" s="7">
        <f>IFERROR(ROUND(O286/P286*100,2),0)</f>
      </c>
      <c r="I286" s="6" t="s">
        <v>1634</v>
      </c>
      <c r="J286" s="6"/>
      <c r="K286" s="7">
        <v>6.84</v>
      </c>
      <c r="L286" s="6" t="s">
        <v>22</v>
      </c>
      <c r="M286" s="7">
        <v>0</v>
      </c>
      <c r="N286" s="7">
        <v>3</v>
      </c>
      <c r="O286" s="7">
        <v>0</v>
      </c>
      <c r="P286" s="7">
        <v>0</v>
      </c>
    </row>
    <row x14ac:dyDescent="0.25" r="287" customHeight="1" ht="22">
      <c r="A287" s="4" t="s">
        <v>1635</v>
      </c>
      <c r="B287" s="5" t="s">
        <v>1636</v>
      </c>
      <c r="C287" s="6" t="s">
        <v>1637</v>
      </c>
      <c r="D287" s="6" t="s">
        <v>1638</v>
      </c>
      <c r="E287" s="6" t="s">
        <v>1639</v>
      </c>
      <c r="F287" s="6"/>
      <c r="G287" s="7">
        <f>IFERROR(ROUND(M287/N287*100,2),0)</f>
      </c>
      <c r="H287" s="7">
        <f>IFERROR(ROUND(O287/P287*100,2),0)</f>
      </c>
      <c r="I287" s="6" t="s">
        <v>1640</v>
      </c>
      <c r="J287" s="6"/>
      <c r="K287" s="7">
        <v>7.12</v>
      </c>
      <c r="L287" s="6" t="s">
        <v>22</v>
      </c>
      <c r="M287" s="7">
        <v>3</v>
      </c>
      <c r="N287" s="7">
        <v>7</v>
      </c>
      <c r="O287" s="7">
        <v>0</v>
      </c>
      <c r="P287" s="7">
        <v>0</v>
      </c>
    </row>
    <row x14ac:dyDescent="0.25" r="288" customHeight="1" ht="22">
      <c r="A288" s="4" t="s">
        <v>1641</v>
      </c>
      <c r="B288" s="5" t="s">
        <v>1642</v>
      </c>
      <c r="C288" s="6" t="s">
        <v>1643</v>
      </c>
      <c r="D288" s="6" t="s">
        <v>1644</v>
      </c>
      <c r="E288" s="6" t="s">
        <v>1645</v>
      </c>
      <c r="F288" s="6"/>
      <c r="G288" s="7">
        <f>IFERROR(ROUND(M288/N288*100,2),0)</f>
      </c>
      <c r="H288" s="7">
        <f>IFERROR(ROUND(O288/P288*100,2),0)</f>
      </c>
      <c r="I288" s="6" t="s">
        <v>1646</v>
      </c>
      <c r="J288" s="6"/>
      <c r="K288" s="7">
        <v>9.48</v>
      </c>
      <c r="L288" s="6" t="s">
        <v>22</v>
      </c>
      <c r="M288" s="7">
        <v>5</v>
      </c>
      <c r="N288" s="7">
        <v>7</v>
      </c>
      <c r="O288" s="7">
        <v>0</v>
      </c>
      <c r="P288" s="7">
        <v>0</v>
      </c>
    </row>
    <row x14ac:dyDescent="0.25" r="289" customHeight="1" ht="22">
      <c r="A289" s="4" t="s">
        <v>1647</v>
      </c>
      <c r="B289" s="5" t="s">
        <v>1648</v>
      </c>
      <c r="C289" s="6" t="s">
        <v>1649</v>
      </c>
      <c r="D289" s="6" t="s">
        <v>1650</v>
      </c>
      <c r="E289" s="6" t="s">
        <v>1651</v>
      </c>
      <c r="F289" s="6"/>
      <c r="G289" s="7">
        <f>IFERROR(ROUND(M289/N289*100,2),0)</f>
      </c>
      <c r="H289" s="7">
        <f>IFERROR(ROUND(O289/P289*100,2),0)</f>
      </c>
      <c r="I289" s="6" t="s">
        <v>627</v>
      </c>
      <c r="J289" s="6"/>
      <c r="K289" s="7">
        <v>20.36</v>
      </c>
      <c r="L289" s="6" t="s">
        <v>22</v>
      </c>
      <c r="M289" s="7">
        <v>4</v>
      </c>
      <c r="N289" s="7">
        <v>5</v>
      </c>
      <c r="O289" s="7">
        <v>0</v>
      </c>
      <c r="P289" s="7">
        <v>0</v>
      </c>
    </row>
    <row x14ac:dyDescent="0.25" r="290" customHeight="1" ht="36">
      <c r="A290" s="4" t="s">
        <v>1652</v>
      </c>
      <c r="B290" s="5" t="s">
        <v>1653</v>
      </c>
      <c r="C290" s="6" t="s">
        <v>1654</v>
      </c>
      <c r="D290" s="6" t="s">
        <v>1655</v>
      </c>
      <c r="E290" s="6" t="s">
        <v>1656</v>
      </c>
      <c r="F290" s="6"/>
      <c r="G290" s="7">
        <f>IFERROR(ROUND(M290/N290*100,2),0)</f>
      </c>
      <c r="H290" s="7">
        <f>IFERROR(ROUND(O290/P290*100,2),0)</f>
      </c>
      <c r="I290" s="6" t="s">
        <v>1657</v>
      </c>
      <c r="J290" s="6"/>
      <c r="K290" s="7">
        <v>8.15</v>
      </c>
      <c r="L290" s="6" t="s">
        <v>22</v>
      </c>
      <c r="M290" s="7">
        <v>9</v>
      </c>
      <c r="N290" s="7">
        <v>13</v>
      </c>
      <c r="O290" s="7">
        <v>0</v>
      </c>
      <c r="P290" s="7">
        <v>0</v>
      </c>
    </row>
    <row x14ac:dyDescent="0.25" r="291" customHeight="1" ht="54">
      <c r="A291" s="4" t="s">
        <v>1658</v>
      </c>
      <c r="B291" s="5" t="s">
        <v>1659</v>
      </c>
      <c r="C291" s="6" t="s">
        <v>1660</v>
      </c>
      <c r="D291" s="6" t="s">
        <v>1661</v>
      </c>
      <c r="E291" s="6" t="s">
        <v>1662</v>
      </c>
      <c r="F291" s="6"/>
      <c r="G291" s="7">
        <f>IFERROR(ROUND(M291/N291*100,2),0)</f>
      </c>
      <c r="H291" s="7">
        <f>IFERROR(ROUND(O291/P291*100,2),0)</f>
      </c>
      <c r="I291" s="6" t="s">
        <v>1663</v>
      </c>
      <c r="J291" s="6"/>
      <c r="K291" s="7">
        <v>11.66</v>
      </c>
      <c r="L291" s="6" t="s">
        <v>22</v>
      </c>
      <c r="M291" s="7">
        <v>10</v>
      </c>
      <c r="N291" s="7">
        <v>18</v>
      </c>
      <c r="O291" s="7">
        <v>0</v>
      </c>
      <c r="P291" s="7">
        <v>0</v>
      </c>
    </row>
    <row x14ac:dyDescent="0.25" r="292" customHeight="1" ht="22">
      <c r="A292" s="4" t="s">
        <v>1664</v>
      </c>
      <c r="B292" s="5" t="s">
        <v>1665</v>
      </c>
      <c r="C292" s="6" t="s">
        <v>1666</v>
      </c>
      <c r="D292" s="6" t="s">
        <v>1667</v>
      </c>
      <c r="E292" s="6" t="s">
        <v>1668</v>
      </c>
      <c r="F292" s="6"/>
      <c r="G292" s="7">
        <f>IFERROR(ROUND(M292/N292*100,2),0)</f>
      </c>
      <c r="H292" s="7">
        <f>IFERROR(ROUND(O292/P292*100,2),0)</f>
      </c>
      <c r="I292" s="6" t="s">
        <v>1669</v>
      </c>
      <c r="J292" s="6"/>
      <c r="K292" s="7">
        <v>7.59</v>
      </c>
      <c r="L292" s="6" t="s">
        <v>22</v>
      </c>
      <c r="M292" s="7">
        <v>4</v>
      </c>
      <c r="N292" s="7">
        <v>4</v>
      </c>
      <c r="O292" s="7">
        <v>0</v>
      </c>
      <c r="P292" s="7">
        <v>0</v>
      </c>
    </row>
    <row x14ac:dyDescent="0.25" r="293" customHeight="1" ht="36">
      <c r="A293" s="4" t="s">
        <v>1670</v>
      </c>
      <c r="B293" s="5" t="s">
        <v>1671</v>
      </c>
      <c r="C293" s="6" t="s">
        <v>1672</v>
      </c>
      <c r="D293" s="6" t="s">
        <v>1673</v>
      </c>
      <c r="E293" s="6" t="s">
        <v>1674</v>
      </c>
      <c r="F293" s="6"/>
      <c r="G293" s="7">
        <f>IFERROR(ROUND(M293/N293*100,2),0)</f>
      </c>
      <c r="H293" s="7">
        <f>IFERROR(ROUND(O293/P293*100,2),0)</f>
      </c>
      <c r="I293" s="6" t="s">
        <v>1675</v>
      </c>
      <c r="J293" s="6"/>
      <c r="K293" s="7">
        <v>6.03</v>
      </c>
      <c r="L293" s="6" t="s">
        <v>22</v>
      </c>
      <c r="M293" s="7">
        <v>8</v>
      </c>
      <c r="N293" s="7">
        <v>13</v>
      </c>
      <c r="O293" s="7">
        <v>0</v>
      </c>
      <c r="P293" s="7">
        <v>0</v>
      </c>
    </row>
    <row x14ac:dyDescent="0.25" r="294" customHeight="1" ht="22">
      <c r="A294" s="4" t="s">
        <v>1676</v>
      </c>
      <c r="B294" s="5" t="s">
        <v>1677</v>
      </c>
      <c r="C294" s="6" t="s">
        <v>1678</v>
      </c>
      <c r="D294" s="6" t="s">
        <v>1679</v>
      </c>
      <c r="E294" s="6" t="s">
        <v>1680</v>
      </c>
      <c r="F294" s="6"/>
      <c r="G294" s="7">
        <f>IFERROR(ROUND(M294/N294*100,2),0)</f>
      </c>
      <c r="H294" s="7">
        <f>IFERROR(ROUND(O294/P294*100,2),0)</f>
      </c>
      <c r="I294" s="6" t="s">
        <v>1681</v>
      </c>
      <c r="J294" s="6"/>
      <c r="K294" s="7">
        <v>5.4</v>
      </c>
      <c r="L294" s="6" t="s">
        <v>22</v>
      </c>
      <c r="M294" s="7">
        <v>4</v>
      </c>
      <c r="N294" s="7">
        <v>7</v>
      </c>
      <c r="O294" s="7">
        <v>0</v>
      </c>
      <c r="P294" s="7">
        <v>0</v>
      </c>
    </row>
    <row x14ac:dyDescent="0.25" r="295" customHeight="1" ht="22">
      <c r="A295" s="4" t="s">
        <v>1682</v>
      </c>
      <c r="B295" s="5" t="s">
        <v>1683</v>
      </c>
      <c r="C295" s="6" t="s">
        <v>1684</v>
      </c>
      <c r="D295" s="6" t="s">
        <v>1685</v>
      </c>
      <c r="E295" s="6" t="s">
        <v>1686</v>
      </c>
      <c r="F295" s="6"/>
      <c r="G295" s="7">
        <f>IFERROR(ROUND(M295/N295*100,2),0)</f>
      </c>
      <c r="H295" s="7">
        <f>IFERROR(ROUND(O295/P295*100,2),0)</f>
      </c>
      <c r="I295" s="6" t="s">
        <v>1686</v>
      </c>
      <c r="J295" s="6"/>
      <c r="K295" s="7">
        <v>7.72</v>
      </c>
      <c r="L295" s="6" t="s">
        <v>22</v>
      </c>
      <c r="M295" s="7">
        <v>0</v>
      </c>
      <c r="N295" s="7">
        <v>1</v>
      </c>
      <c r="O295" s="7">
        <v>0</v>
      </c>
      <c r="P295" s="7">
        <v>0</v>
      </c>
    </row>
    <row x14ac:dyDescent="0.25" r="296" customHeight="1" ht="36">
      <c r="A296" s="4" t="s">
        <v>1687</v>
      </c>
      <c r="B296" s="5" t="s">
        <v>1688</v>
      </c>
      <c r="C296" s="6" t="s">
        <v>1689</v>
      </c>
      <c r="D296" s="6" t="s">
        <v>1690</v>
      </c>
      <c r="E296" s="6" t="s">
        <v>1691</v>
      </c>
      <c r="F296" s="6"/>
      <c r="G296" s="7">
        <f>IFERROR(ROUND(M296/N296*100,2),0)</f>
      </c>
      <c r="H296" s="7">
        <f>IFERROR(ROUND(O296/P296*100,2),0)</f>
      </c>
      <c r="I296" s="6" t="s">
        <v>1692</v>
      </c>
      <c r="J296" s="6"/>
      <c r="K296" s="7">
        <v>6.96</v>
      </c>
      <c r="L296" s="6" t="s">
        <v>22</v>
      </c>
      <c r="M296" s="7">
        <v>11</v>
      </c>
      <c r="N296" s="7">
        <v>12</v>
      </c>
      <c r="O296" s="7">
        <v>0</v>
      </c>
      <c r="P296" s="7">
        <v>0</v>
      </c>
    </row>
    <row x14ac:dyDescent="0.25" r="297" customHeight="1" ht="22">
      <c r="A297" s="4" t="s">
        <v>1693</v>
      </c>
      <c r="B297" s="5" t="s">
        <v>1694</v>
      </c>
      <c r="C297" s="6" t="s">
        <v>1695</v>
      </c>
      <c r="D297" s="6" t="s">
        <v>1696</v>
      </c>
      <c r="E297" s="6" t="s">
        <v>1696</v>
      </c>
      <c r="F297" s="6"/>
      <c r="G297" s="7">
        <f>IFERROR(ROUND(M297/N297*100,2),0)</f>
      </c>
      <c r="H297" s="7">
        <f>IFERROR(ROUND(O297/P297*100,2),0)</f>
      </c>
      <c r="I297" s="6" t="s">
        <v>1697</v>
      </c>
      <c r="J297" s="6"/>
      <c r="K297" s="7">
        <v>3.84</v>
      </c>
      <c r="L297" s="6" t="s">
        <v>22</v>
      </c>
      <c r="M297" s="7">
        <v>0</v>
      </c>
      <c r="N297" s="7">
        <v>1</v>
      </c>
      <c r="O297" s="7">
        <v>0</v>
      </c>
      <c r="P297" s="7">
        <v>0</v>
      </c>
    </row>
    <row x14ac:dyDescent="0.25" r="298" customHeight="1" ht="22">
      <c r="A298" s="4" t="s">
        <v>1698</v>
      </c>
      <c r="B298" s="5" t="s">
        <v>1699</v>
      </c>
      <c r="C298" s="6" t="s">
        <v>1700</v>
      </c>
      <c r="D298" s="6" t="s">
        <v>1701</v>
      </c>
      <c r="E298" s="6" t="s">
        <v>1702</v>
      </c>
      <c r="F298" s="6"/>
      <c r="G298" s="7">
        <f>IFERROR(ROUND(M298/N298*100,2),0)</f>
      </c>
      <c r="H298" s="7">
        <f>IFERROR(ROUND(O298/P298*100,2),0)</f>
      </c>
      <c r="I298" s="6" t="s">
        <v>1703</v>
      </c>
      <c r="J298" s="6"/>
      <c r="K298" s="7">
        <v>4.79</v>
      </c>
      <c r="L298" s="6" t="s">
        <v>22</v>
      </c>
      <c r="M298" s="7">
        <v>5</v>
      </c>
      <c r="N298" s="7">
        <v>7</v>
      </c>
      <c r="O298" s="7">
        <v>0</v>
      </c>
      <c r="P298" s="7">
        <v>0</v>
      </c>
    </row>
    <row x14ac:dyDescent="0.25" r="299" customHeight="1" ht="54">
      <c r="A299" s="4" t="s">
        <v>1704</v>
      </c>
      <c r="B299" s="5" t="s">
        <v>1705</v>
      </c>
      <c r="C299" s="6" t="s">
        <v>1706</v>
      </c>
      <c r="D299" s="6" t="s">
        <v>1707</v>
      </c>
      <c r="E299" s="6" t="s">
        <v>1708</v>
      </c>
      <c r="F299" s="6"/>
      <c r="G299" s="7">
        <f>IFERROR(ROUND(M299/N299*100,2),0)</f>
      </c>
      <c r="H299" s="7">
        <f>IFERROR(ROUND(O299/P299*100,2),0)</f>
      </c>
      <c r="I299" s="6" t="s">
        <v>1709</v>
      </c>
      <c r="J299" s="6"/>
      <c r="K299" s="7">
        <v>10.68</v>
      </c>
      <c r="L299" s="6" t="s">
        <v>22</v>
      </c>
      <c r="M299" s="7">
        <v>8</v>
      </c>
      <c r="N299" s="7">
        <v>22</v>
      </c>
      <c r="O299" s="7">
        <v>0</v>
      </c>
      <c r="P299" s="7">
        <v>0</v>
      </c>
    </row>
    <row x14ac:dyDescent="0.25" r="300" customHeight="1" ht="22">
      <c r="A300" s="4" t="s">
        <v>1710</v>
      </c>
      <c r="B300" s="5" t="s">
        <v>1711</v>
      </c>
      <c r="C300" s="6" t="s">
        <v>1712</v>
      </c>
      <c r="D300" s="6" t="s">
        <v>1713</v>
      </c>
      <c r="E300" s="6" t="s">
        <v>1714</v>
      </c>
      <c r="F300" s="6"/>
      <c r="G300" s="7">
        <f>IFERROR(ROUND(M300/N300*100,2),0)</f>
      </c>
      <c r="H300" s="7">
        <f>IFERROR(ROUND(O300/P300*100,2),0)</f>
      </c>
      <c r="I300" s="6" t="s">
        <v>1715</v>
      </c>
      <c r="J300" s="6"/>
      <c r="K300" s="7">
        <v>6.44</v>
      </c>
      <c r="L300" s="6" t="s">
        <v>22</v>
      </c>
      <c r="M300" s="7">
        <v>2</v>
      </c>
      <c r="N300" s="7">
        <v>3</v>
      </c>
      <c r="O300" s="7">
        <v>0</v>
      </c>
      <c r="P300" s="7">
        <v>0</v>
      </c>
    </row>
    <row x14ac:dyDescent="0.25" r="301" customHeight="1" ht="36">
      <c r="A301" s="4" t="s">
        <v>1716</v>
      </c>
      <c r="B301" s="5" t="s">
        <v>1717</v>
      </c>
      <c r="C301" s="6" t="s">
        <v>1718</v>
      </c>
      <c r="D301" s="6" t="s">
        <v>1719</v>
      </c>
      <c r="E301" s="6" t="s">
        <v>1720</v>
      </c>
      <c r="F301" s="6"/>
      <c r="G301" s="7">
        <f>IFERROR(ROUND(M301/N301*100,2),0)</f>
      </c>
      <c r="H301" s="7">
        <f>IFERROR(ROUND(O301/P301*100,2),0)</f>
      </c>
      <c r="I301" s="6" t="s">
        <v>1721</v>
      </c>
      <c r="J301" s="6"/>
      <c r="K301" s="7">
        <v>10.48</v>
      </c>
      <c r="L301" s="6" t="s">
        <v>22</v>
      </c>
      <c r="M301" s="7">
        <v>14</v>
      </c>
      <c r="N301" s="7">
        <v>17</v>
      </c>
      <c r="O301" s="7">
        <v>0</v>
      </c>
      <c r="P301" s="7">
        <v>0</v>
      </c>
    </row>
    <row x14ac:dyDescent="0.25" r="302" customHeight="1" ht="22">
      <c r="A302" s="4" t="s">
        <v>1722</v>
      </c>
      <c r="B302" s="5" t="s">
        <v>1723</v>
      </c>
      <c r="C302" s="6" t="s">
        <v>1724</v>
      </c>
      <c r="D302" s="6" t="s">
        <v>1725</v>
      </c>
      <c r="E302" s="6" t="s">
        <v>1725</v>
      </c>
      <c r="F302" s="6"/>
      <c r="G302" s="7">
        <f>IFERROR(ROUND(M302/N302*100,2),0)</f>
      </c>
      <c r="H302" s="7">
        <f>IFERROR(ROUND(O302/P302*100,2),0)</f>
      </c>
      <c r="I302" s="6"/>
      <c r="J302" s="6"/>
      <c r="K302" s="7">
        <v>3.71</v>
      </c>
      <c r="L302" s="6" t="s">
        <v>22</v>
      </c>
      <c r="M302" s="7">
        <v>1</v>
      </c>
      <c r="N302" s="7">
        <v>1</v>
      </c>
      <c r="O302" s="7">
        <v>0</v>
      </c>
      <c r="P302" s="7">
        <v>0</v>
      </c>
    </row>
    <row x14ac:dyDescent="0.25" r="303" customHeight="1" ht="36">
      <c r="A303" s="4" t="s">
        <v>1726</v>
      </c>
      <c r="B303" s="5" t="s">
        <v>1727</v>
      </c>
      <c r="C303" s="6" t="s">
        <v>1728</v>
      </c>
      <c r="D303" s="6" t="s">
        <v>1729</v>
      </c>
      <c r="E303" s="6" t="s">
        <v>1730</v>
      </c>
      <c r="F303" s="6"/>
      <c r="G303" s="7">
        <f>IFERROR(ROUND(M303/N303*100,2),0)</f>
      </c>
      <c r="H303" s="7">
        <f>IFERROR(ROUND(O303/P303*100,2),0)</f>
      </c>
      <c r="I303" s="6" t="s">
        <v>1731</v>
      </c>
      <c r="J303" s="6"/>
      <c r="K303" s="7">
        <v>7.08</v>
      </c>
      <c r="L303" s="6" t="s">
        <v>22</v>
      </c>
      <c r="M303" s="7">
        <v>7</v>
      </c>
      <c r="N303" s="7">
        <v>12</v>
      </c>
      <c r="O303" s="7">
        <v>0</v>
      </c>
      <c r="P303" s="7">
        <v>0</v>
      </c>
    </row>
    <row x14ac:dyDescent="0.25" r="304" customHeight="1" ht="22">
      <c r="A304" s="4" t="s">
        <v>1732</v>
      </c>
      <c r="B304" s="5" t="s">
        <v>1733</v>
      </c>
      <c r="C304" s="6" t="s">
        <v>1734</v>
      </c>
      <c r="D304" s="6" t="s">
        <v>1735</v>
      </c>
      <c r="E304" s="6" t="s">
        <v>1734</v>
      </c>
      <c r="F304" s="6"/>
      <c r="G304" s="7">
        <f>IFERROR(ROUND(M304/N304*100,2),0)</f>
      </c>
      <c r="H304" s="7">
        <f>IFERROR(ROUND(O304/P304*100,2),0)</f>
      </c>
      <c r="I304" s="6"/>
      <c r="J304" s="6"/>
      <c r="K304" s="7">
        <v>4.5</v>
      </c>
      <c r="L304" s="6" t="s">
        <v>22</v>
      </c>
      <c r="M304" s="7">
        <v>5</v>
      </c>
      <c r="N304" s="7">
        <v>5</v>
      </c>
      <c r="O304" s="7">
        <v>0</v>
      </c>
      <c r="P304" s="7">
        <v>0</v>
      </c>
    </row>
    <row x14ac:dyDescent="0.25" r="305" customHeight="1" ht="36">
      <c r="A305" s="4" t="s">
        <v>1736</v>
      </c>
      <c r="B305" s="5" t="s">
        <v>1737</v>
      </c>
      <c r="C305" s="6" t="s">
        <v>1738</v>
      </c>
      <c r="D305" s="6" t="s">
        <v>1739</v>
      </c>
      <c r="E305" s="6" t="s">
        <v>1740</v>
      </c>
      <c r="F305" s="6"/>
      <c r="G305" s="7">
        <f>IFERROR(ROUND(M305/N305*100,2),0)</f>
      </c>
      <c r="H305" s="7">
        <f>IFERROR(ROUND(O305/P305*100,2),0)</f>
      </c>
      <c r="I305" s="6" t="s">
        <v>1741</v>
      </c>
      <c r="J305" s="6"/>
      <c r="K305" s="7">
        <v>7.93</v>
      </c>
      <c r="L305" s="6" t="s">
        <v>22</v>
      </c>
      <c r="M305" s="7">
        <v>5</v>
      </c>
      <c r="N305" s="7">
        <v>9</v>
      </c>
      <c r="O305" s="7">
        <v>0</v>
      </c>
      <c r="P305" s="7">
        <v>0</v>
      </c>
    </row>
    <row x14ac:dyDescent="0.25" r="306" customHeight="1" ht="36">
      <c r="A306" s="4" t="s">
        <v>1742</v>
      </c>
      <c r="B306" s="5" t="s">
        <v>1743</v>
      </c>
      <c r="C306" s="6" t="s">
        <v>1744</v>
      </c>
      <c r="D306" s="6" t="s">
        <v>1745</v>
      </c>
      <c r="E306" s="6" t="s">
        <v>1746</v>
      </c>
      <c r="F306" s="6"/>
      <c r="G306" s="7">
        <f>IFERROR(ROUND(M306/N306*100,2),0)</f>
      </c>
      <c r="H306" s="7">
        <f>IFERROR(ROUND(O306/P306*100,2),0)</f>
      </c>
      <c r="I306" s="6" t="s">
        <v>1747</v>
      </c>
      <c r="J306" s="6"/>
      <c r="K306" s="7">
        <v>12.47</v>
      </c>
      <c r="L306" s="6" t="s">
        <v>22</v>
      </c>
      <c r="M306" s="7">
        <v>10</v>
      </c>
      <c r="N306" s="7">
        <v>12</v>
      </c>
      <c r="O306" s="7">
        <v>0</v>
      </c>
      <c r="P306" s="7">
        <v>0</v>
      </c>
    </row>
    <row x14ac:dyDescent="0.25" r="307" customHeight="1" ht="36">
      <c r="A307" s="4" t="s">
        <v>1748</v>
      </c>
      <c r="B307" s="5" t="s">
        <v>1749</v>
      </c>
      <c r="C307" s="6" t="s">
        <v>1750</v>
      </c>
      <c r="D307" s="6" t="s">
        <v>1751</v>
      </c>
      <c r="E307" s="6" t="s">
        <v>1752</v>
      </c>
      <c r="F307" s="6"/>
      <c r="G307" s="7">
        <f>IFERROR(ROUND(M307/N307*100,2),0)</f>
      </c>
      <c r="H307" s="7">
        <f>IFERROR(ROUND(O307/P307*100,2),0)</f>
      </c>
      <c r="I307" s="6" t="s">
        <v>1753</v>
      </c>
      <c r="J307" s="6"/>
      <c r="K307" s="7">
        <v>12.82</v>
      </c>
      <c r="L307" s="6" t="s">
        <v>22</v>
      </c>
      <c r="M307" s="7">
        <v>6</v>
      </c>
      <c r="N307" s="7">
        <v>12</v>
      </c>
      <c r="O307" s="7">
        <v>0</v>
      </c>
      <c r="P307" s="7">
        <v>0</v>
      </c>
    </row>
    <row x14ac:dyDescent="0.25" r="308" customHeight="1" ht="22">
      <c r="A308" s="4" t="s">
        <v>1754</v>
      </c>
      <c r="B308" s="5" t="s">
        <v>1755</v>
      </c>
      <c r="C308" s="6" t="s">
        <v>1756</v>
      </c>
      <c r="D308" s="6" t="s">
        <v>1757</v>
      </c>
      <c r="E308" s="6" t="s">
        <v>1758</v>
      </c>
      <c r="F308" s="6"/>
      <c r="G308" s="7">
        <f>IFERROR(ROUND(M308/N308*100,2),0)</f>
      </c>
      <c r="H308" s="7">
        <f>IFERROR(ROUND(O308/P308*100,2),0)</f>
      </c>
      <c r="I308" s="6"/>
      <c r="J308" s="6"/>
      <c r="K308" s="7">
        <v>5.49</v>
      </c>
      <c r="L308" s="6" t="s">
        <v>22</v>
      </c>
      <c r="M308" s="7">
        <v>8</v>
      </c>
      <c r="N308" s="7">
        <v>8</v>
      </c>
      <c r="O308" s="7">
        <v>0</v>
      </c>
      <c r="P308" s="7">
        <v>0</v>
      </c>
    </row>
    <row x14ac:dyDescent="0.25" r="309" customHeight="1" ht="22">
      <c r="A309" s="4" t="s">
        <v>1759</v>
      </c>
      <c r="B309" s="5" t="s">
        <v>1760</v>
      </c>
      <c r="C309" s="6" t="s">
        <v>1761</v>
      </c>
      <c r="D309" s="6" t="s">
        <v>1762</v>
      </c>
      <c r="E309" s="6" t="s">
        <v>1763</v>
      </c>
      <c r="F309" s="6"/>
      <c r="G309" s="7">
        <f>IFERROR(ROUND(M309/N309*100,2),0)</f>
      </c>
      <c r="H309" s="7">
        <f>IFERROR(ROUND(O309/P309*100,2),0)</f>
      </c>
      <c r="I309" s="6" t="s">
        <v>1764</v>
      </c>
      <c r="J309" s="6"/>
      <c r="K309" s="7">
        <v>6.83</v>
      </c>
      <c r="L309" s="6" t="s">
        <v>22</v>
      </c>
      <c r="M309" s="7">
        <v>4</v>
      </c>
      <c r="N309" s="7">
        <v>7</v>
      </c>
      <c r="O309" s="7">
        <v>0</v>
      </c>
      <c r="P309" s="7">
        <v>0</v>
      </c>
    </row>
    <row x14ac:dyDescent="0.25" r="310" customHeight="1" ht="22">
      <c r="A310" s="4" t="s">
        <v>1765</v>
      </c>
      <c r="B310" s="5" t="s">
        <v>1766</v>
      </c>
      <c r="C310" s="6" t="s">
        <v>1767</v>
      </c>
      <c r="D310" s="6" t="s">
        <v>1768</v>
      </c>
      <c r="E310" s="6" t="s">
        <v>1769</v>
      </c>
      <c r="F310" s="6"/>
      <c r="G310" s="7">
        <f>IFERROR(ROUND(M310/N310*100,2),0)</f>
      </c>
      <c r="H310" s="7">
        <f>IFERROR(ROUND(O310/P310*100,2),0)</f>
      </c>
      <c r="I310" s="6" t="s">
        <v>1770</v>
      </c>
      <c r="J310" s="6"/>
      <c r="K310" s="7">
        <v>8.29</v>
      </c>
      <c r="L310" s="6" t="s">
        <v>22</v>
      </c>
      <c r="M310" s="7">
        <v>3</v>
      </c>
      <c r="N310" s="7">
        <v>5</v>
      </c>
      <c r="O310" s="7">
        <v>0</v>
      </c>
      <c r="P310" s="7">
        <v>0</v>
      </c>
    </row>
    <row x14ac:dyDescent="0.25" r="311" customHeight="1" ht="22">
      <c r="A311" s="4" t="s">
        <v>1771</v>
      </c>
      <c r="B311" s="5" t="s">
        <v>1772</v>
      </c>
      <c r="C311" s="6" t="s">
        <v>1773</v>
      </c>
      <c r="D311" s="6" t="s">
        <v>1774</v>
      </c>
      <c r="E311" s="6" t="s">
        <v>1775</v>
      </c>
      <c r="F311" s="6"/>
      <c r="G311" s="7">
        <f>IFERROR(ROUND(M311/N311*100,2),0)</f>
      </c>
      <c r="H311" s="7">
        <f>IFERROR(ROUND(O311/P311*100,2),0)</f>
      </c>
      <c r="I311" s="6" t="s">
        <v>1776</v>
      </c>
      <c r="J311" s="6"/>
      <c r="K311" s="7">
        <v>5.48</v>
      </c>
      <c r="L311" s="6" t="s">
        <v>22</v>
      </c>
      <c r="M311" s="7">
        <v>5</v>
      </c>
      <c r="N311" s="7">
        <v>9</v>
      </c>
      <c r="O311" s="7">
        <v>0</v>
      </c>
      <c r="P311" s="7">
        <v>0</v>
      </c>
    </row>
    <row x14ac:dyDescent="0.25" r="312" customHeight="1" ht="54">
      <c r="A312" s="4" t="s">
        <v>1777</v>
      </c>
      <c r="B312" s="5" t="s">
        <v>1778</v>
      </c>
      <c r="C312" s="6" t="s">
        <v>1779</v>
      </c>
      <c r="D312" s="6" t="s">
        <v>1780</v>
      </c>
      <c r="E312" s="6" t="s">
        <v>1781</v>
      </c>
      <c r="F312" s="6"/>
      <c r="G312" s="7">
        <f>IFERROR(ROUND(M312/N312*100,2),0)</f>
      </c>
      <c r="H312" s="7">
        <f>IFERROR(ROUND(O312/P312*100,2),0)</f>
      </c>
      <c r="I312" s="6" t="s">
        <v>1782</v>
      </c>
      <c r="J312" s="6"/>
      <c r="K312" s="7">
        <v>5.26</v>
      </c>
      <c r="L312" s="6" t="s">
        <v>22</v>
      </c>
      <c r="M312" s="7">
        <v>8</v>
      </c>
      <c r="N312" s="7">
        <v>12</v>
      </c>
      <c r="O312" s="7">
        <v>0</v>
      </c>
      <c r="P312" s="7">
        <v>0</v>
      </c>
    </row>
    <row x14ac:dyDescent="0.25" r="313" customHeight="1" ht="36">
      <c r="A313" s="4" t="s">
        <v>1783</v>
      </c>
      <c r="B313" s="5" t="s">
        <v>1784</v>
      </c>
      <c r="C313" s="6" t="s">
        <v>1785</v>
      </c>
      <c r="D313" s="6" t="s">
        <v>1786</v>
      </c>
      <c r="E313" s="6" t="s">
        <v>1787</v>
      </c>
      <c r="F313" s="6"/>
      <c r="G313" s="7">
        <f>IFERROR(ROUND(M313/N313*100,2),0)</f>
      </c>
      <c r="H313" s="7">
        <f>IFERROR(ROUND(O313/P313*100,2),0)</f>
      </c>
      <c r="I313" s="6" t="s">
        <v>1788</v>
      </c>
      <c r="J313" s="6"/>
      <c r="K313" s="7">
        <v>5.31</v>
      </c>
      <c r="L313" s="6" t="s">
        <v>22</v>
      </c>
      <c r="M313" s="7">
        <v>7</v>
      </c>
      <c r="N313" s="7">
        <v>10</v>
      </c>
      <c r="O313" s="7">
        <v>0</v>
      </c>
      <c r="P313" s="7">
        <v>0</v>
      </c>
    </row>
    <row x14ac:dyDescent="0.25" r="314" customHeight="1" ht="22">
      <c r="A314" s="4" t="s">
        <v>1789</v>
      </c>
      <c r="B314" s="5" t="s">
        <v>1790</v>
      </c>
      <c r="C314" s="6" t="s">
        <v>1791</v>
      </c>
      <c r="D314" s="6" t="s">
        <v>1792</v>
      </c>
      <c r="E314" s="6" t="s">
        <v>1793</v>
      </c>
      <c r="F314" s="6"/>
      <c r="G314" s="7">
        <f>IFERROR(ROUND(M314/N314*100,2),0)</f>
      </c>
      <c r="H314" s="7">
        <f>IFERROR(ROUND(O314/P314*100,2),0)</f>
      </c>
      <c r="I314" s="6" t="s">
        <v>1794</v>
      </c>
      <c r="J314" s="6"/>
      <c r="K314" s="7">
        <v>6.58</v>
      </c>
      <c r="L314" s="6" t="s">
        <v>22</v>
      </c>
      <c r="M314" s="7">
        <v>2</v>
      </c>
      <c r="N314" s="7">
        <v>3</v>
      </c>
      <c r="O314" s="7">
        <v>0</v>
      </c>
      <c r="P314" s="7">
        <v>0</v>
      </c>
    </row>
    <row x14ac:dyDescent="0.25" r="315" customHeight="1" ht="36">
      <c r="A315" s="4" t="s">
        <v>1795</v>
      </c>
      <c r="B315" s="5" t="s">
        <v>1796</v>
      </c>
      <c r="C315" s="6" t="s">
        <v>1797</v>
      </c>
      <c r="D315" s="6" t="s">
        <v>1798</v>
      </c>
      <c r="E315" s="6" t="s">
        <v>1799</v>
      </c>
      <c r="F315" s="6"/>
      <c r="G315" s="7">
        <f>IFERROR(ROUND(M315/N315*100,2),0)</f>
      </c>
      <c r="H315" s="7">
        <f>IFERROR(ROUND(O315/P315*100,2),0)</f>
      </c>
      <c r="I315" s="6" t="s">
        <v>1800</v>
      </c>
      <c r="J315" s="6"/>
      <c r="K315" s="7">
        <v>7.1</v>
      </c>
      <c r="L315" s="6" t="s">
        <v>22</v>
      </c>
      <c r="M315" s="7">
        <v>5</v>
      </c>
      <c r="N315" s="7">
        <v>10</v>
      </c>
      <c r="O315" s="7">
        <v>0</v>
      </c>
      <c r="P315" s="7">
        <v>0</v>
      </c>
    </row>
    <row x14ac:dyDescent="0.25" r="316" customHeight="1" ht="36">
      <c r="A316" s="4" t="s">
        <v>1801</v>
      </c>
      <c r="B316" s="5" t="s">
        <v>1802</v>
      </c>
      <c r="C316" s="6" t="s">
        <v>1803</v>
      </c>
      <c r="D316" s="6" t="s">
        <v>1804</v>
      </c>
      <c r="E316" s="6" t="s">
        <v>1805</v>
      </c>
      <c r="F316" s="6"/>
      <c r="G316" s="7">
        <f>IFERROR(ROUND(M316/N316*100,2),0)</f>
      </c>
      <c r="H316" s="7">
        <f>IFERROR(ROUND(O316/P316*100,2),0)</f>
      </c>
      <c r="I316" s="6" t="s">
        <v>1806</v>
      </c>
      <c r="J316" s="6"/>
      <c r="K316" s="7">
        <v>8.48</v>
      </c>
      <c r="L316" s="6" t="s">
        <v>22</v>
      </c>
      <c r="M316" s="7">
        <v>8</v>
      </c>
      <c r="N316" s="7">
        <v>13</v>
      </c>
      <c r="O316" s="7">
        <v>0</v>
      </c>
      <c r="P316" s="7">
        <v>0</v>
      </c>
    </row>
    <row x14ac:dyDescent="0.25" r="317" customHeight="1" ht="22">
      <c r="A317" s="4" t="s">
        <v>1807</v>
      </c>
      <c r="B317" s="5" t="s">
        <v>1808</v>
      </c>
      <c r="C317" s="6" t="s">
        <v>1809</v>
      </c>
      <c r="D317" s="6" t="s">
        <v>1810</v>
      </c>
      <c r="E317" s="6" t="s">
        <v>1810</v>
      </c>
      <c r="F317" s="6"/>
      <c r="G317" s="7">
        <f>IFERROR(ROUND(M317/N317*100,2),0)</f>
      </c>
      <c r="H317" s="7">
        <f>IFERROR(ROUND(O317/P317*100,2),0)</f>
      </c>
      <c r="I317" s="6" t="s">
        <v>1811</v>
      </c>
      <c r="J317" s="6"/>
      <c r="K317" s="7">
        <v>9.58</v>
      </c>
      <c r="L317" s="6" t="s">
        <v>22</v>
      </c>
      <c r="M317" s="7">
        <v>0</v>
      </c>
      <c r="N317" s="7">
        <v>8</v>
      </c>
      <c r="O317" s="7">
        <v>0</v>
      </c>
      <c r="P317" s="7">
        <v>0</v>
      </c>
    </row>
    <row x14ac:dyDescent="0.25" r="318" customHeight="1" ht="36">
      <c r="A318" s="4" t="s">
        <v>1812</v>
      </c>
      <c r="B318" s="5" t="s">
        <v>1813</v>
      </c>
      <c r="C318" s="6" t="s">
        <v>1814</v>
      </c>
      <c r="D318" s="6" t="s">
        <v>1815</v>
      </c>
      <c r="E318" s="6" t="s">
        <v>1815</v>
      </c>
      <c r="F318" s="6"/>
      <c r="G318" s="7">
        <f>IFERROR(ROUND(M318/N318*100,2),0)</f>
      </c>
      <c r="H318" s="7">
        <f>IFERROR(ROUND(O318/P318*100,2),0)</f>
      </c>
      <c r="I318" s="6" t="s">
        <v>1816</v>
      </c>
      <c r="J318" s="6"/>
      <c r="K318" s="7">
        <v>3.16</v>
      </c>
      <c r="L318" s="6" t="s">
        <v>22</v>
      </c>
      <c r="M318" s="7">
        <v>0</v>
      </c>
      <c r="N318" s="7">
        <v>10</v>
      </c>
      <c r="O318" s="7">
        <v>0</v>
      </c>
      <c r="P318" s="7">
        <v>0</v>
      </c>
    </row>
    <row x14ac:dyDescent="0.25" r="319" customHeight="1" ht="22">
      <c r="A319" s="4" t="s">
        <v>1817</v>
      </c>
      <c r="B319" s="5" t="s">
        <v>1818</v>
      </c>
      <c r="C319" s="6" t="s">
        <v>1819</v>
      </c>
      <c r="D319" s="6" t="s">
        <v>1820</v>
      </c>
      <c r="E319" s="6" t="s">
        <v>1821</v>
      </c>
      <c r="F319" s="6"/>
      <c r="G319" s="7">
        <f>IFERROR(ROUND(M319/N319*100,2),0)</f>
      </c>
      <c r="H319" s="7">
        <f>IFERROR(ROUND(O319/P319*100,2),0)</f>
      </c>
      <c r="I319" s="6" t="s">
        <v>1822</v>
      </c>
      <c r="J319" s="6"/>
      <c r="K319" s="7">
        <v>5.48</v>
      </c>
      <c r="L319" s="6" t="s">
        <v>22</v>
      </c>
      <c r="M319" s="7">
        <v>2</v>
      </c>
      <c r="N319" s="7">
        <v>5</v>
      </c>
      <c r="O319" s="7">
        <v>0</v>
      </c>
      <c r="P319" s="7">
        <v>0</v>
      </c>
    </row>
    <row x14ac:dyDescent="0.25" r="320" customHeight="1" ht="22">
      <c r="A320" s="4" t="s">
        <v>1823</v>
      </c>
      <c r="B320" s="5" t="s">
        <v>1824</v>
      </c>
      <c r="C320" s="6" t="s">
        <v>1825</v>
      </c>
      <c r="D320" s="6" t="s">
        <v>1826</v>
      </c>
      <c r="E320" s="6" t="s">
        <v>1827</v>
      </c>
      <c r="F320" s="6"/>
      <c r="G320" s="7">
        <f>IFERROR(ROUND(M320/N320*100,2),0)</f>
      </c>
      <c r="H320" s="7">
        <f>IFERROR(ROUND(O320/P320*100,2),0)</f>
      </c>
      <c r="I320" s="6" t="s">
        <v>1828</v>
      </c>
      <c r="J320" s="6"/>
      <c r="K320" s="7">
        <v>12.05</v>
      </c>
      <c r="L320" s="6" t="s">
        <v>22</v>
      </c>
      <c r="M320" s="7">
        <v>5</v>
      </c>
      <c r="N320" s="7">
        <v>9</v>
      </c>
      <c r="O320" s="7">
        <v>0</v>
      </c>
      <c r="P320" s="7">
        <v>0</v>
      </c>
    </row>
    <row x14ac:dyDescent="0.25" r="321" customHeight="1" ht="22">
      <c r="A321" s="4" t="s">
        <v>1829</v>
      </c>
      <c r="B321" s="5" t="s">
        <v>1830</v>
      </c>
      <c r="C321" s="6" t="s">
        <v>1831</v>
      </c>
      <c r="D321" s="6" t="s">
        <v>1832</v>
      </c>
      <c r="E321" s="6" t="s">
        <v>1833</v>
      </c>
      <c r="F321" s="6"/>
      <c r="G321" s="7">
        <f>IFERROR(ROUND(M321/N321*100,2),0)</f>
      </c>
      <c r="H321" s="7">
        <f>IFERROR(ROUND(O321/P321*100,2),0)</f>
      </c>
      <c r="I321" s="6" t="s">
        <v>1834</v>
      </c>
      <c r="J321" s="6"/>
      <c r="K321" s="7">
        <v>10.11</v>
      </c>
      <c r="L321" s="6" t="s">
        <v>22</v>
      </c>
      <c r="M321" s="7">
        <v>5</v>
      </c>
      <c r="N321" s="7">
        <v>8</v>
      </c>
      <c r="O321" s="7">
        <v>0</v>
      </c>
      <c r="P321" s="7">
        <v>0</v>
      </c>
    </row>
    <row x14ac:dyDescent="0.25" r="322" customHeight="1" ht="22">
      <c r="A322" s="4" t="s">
        <v>1835</v>
      </c>
      <c r="B322" s="5" t="s">
        <v>1836</v>
      </c>
      <c r="C322" s="6" t="s">
        <v>1837</v>
      </c>
      <c r="D322" s="6" t="s">
        <v>1838</v>
      </c>
      <c r="E322" s="6" t="s">
        <v>1839</v>
      </c>
      <c r="F322" s="6"/>
      <c r="G322" s="7">
        <f>IFERROR(ROUND(M322/N322*100,2),0)</f>
      </c>
      <c r="H322" s="7">
        <f>IFERROR(ROUND(O322/P322*100,2),0)</f>
      </c>
      <c r="I322" s="6"/>
      <c r="J322" s="6"/>
      <c r="K322" s="7">
        <v>4.88</v>
      </c>
      <c r="L322" s="6" t="s">
        <v>22</v>
      </c>
      <c r="M322" s="7">
        <v>1</v>
      </c>
      <c r="N322" s="7">
        <v>1</v>
      </c>
      <c r="O322" s="7">
        <v>0</v>
      </c>
      <c r="P322" s="7">
        <v>0</v>
      </c>
    </row>
    <row x14ac:dyDescent="0.25" r="323" customHeight="1" ht="22">
      <c r="A323" s="4" t="s">
        <v>1840</v>
      </c>
      <c r="B323" s="5" t="s">
        <v>1841</v>
      </c>
      <c r="C323" s="6" t="s">
        <v>1842</v>
      </c>
      <c r="D323" s="6" t="s">
        <v>1843</v>
      </c>
      <c r="E323" s="6" t="s">
        <v>1844</v>
      </c>
      <c r="F323" s="6"/>
      <c r="G323" s="7">
        <f>IFERROR(ROUND(M323/N323*100,2),0)</f>
      </c>
      <c r="H323" s="7">
        <f>IFERROR(ROUND(O323/P323*100,2),0)</f>
      </c>
      <c r="I323" s="6" t="s">
        <v>1845</v>
      </c>
      <c r="J323" s="6"/>
      <c r="K323" s="7">
        <v>8.27</v>
      </c>
      <c r="L323" s="6" t="s">
        <v>22</v>
      </c>
      <c r="M323" s="7">
        <v>4</v>
      </c>
      <c r="N323" s="7">
        <v>6</v>
      </c>
      <c r="O323" s="7">
        <v>0</v>
      </c>
      <c r="P323" s="7">
        <v>0</v>
      </c>
    </row>
    <row x14ac:dyDescent="0.25" r="324" customHeight="1" ht="36">
      <c r="A324" s="4" t="s">
        <v>1846</v>
      </c>
      <c r="B324" s="5" t="s">
        <v>1847</v>
      </c>
      <c r="C324" s="6" t="s">
        <v>1848</v>
      </c>
      <c r="D324" s="6" t="s">
        <v>1849</v>
      </c>
      <c r="E324" s="6" t="s">
        <v>1850</v>
      </c>
      <c r="F324" s="6"/>
      <c r="G324" s="7">
        <f>IFERROR(ROUND(M324/N324*100,2),0)</f>
      </c>
      <c r="H324" s="7">
        <f>IFERROR(ROUND(O324/P324*100,2),0)</f>
      </c>
      <c r="I324" s="6" t="s">
        <v>1851</v>
      </c>
      <c r="J324" s="6"/>
      <c r="K324" s="7">
        <v>6.14</v>
      </c>
      <c r="L324" s="6" t="s">
        <v>22</v>
      </c>
      <c r="M324" s="7">
        <v>9</v>
      </c>
      <c r="N324" s="7">
        <v>12</v>
      </c>
      <c r="O324" s="7">
        <v>0</v>
      </c>
      <c r="P324" s="7">
        <v>0</v>
      </c>
    </row>
    <row x14ac:dyDescent="0.25" r="325" customHeight="1" ht="36">
      <c r="A325" s="4" t="s">
        <v>1852</v>
      </c>
      <c r="B325" s="5" t="s">
        <v>1853</v>
      </c>
      <c r="C325" s="6" t="s">
        <v>1854</v>
      </c>
      <c r="D325" s="6" t="s">
        <v>1855</v>
      </c>
      <c r="E325" s="6" t="s">
        <v>1856</v>
      </c>
      <c r="F325" s="6"/>
      <c r="G325" s="7">
        <f>IFERROR(ROUND(M325/N325*100,2),0)</f>
      </c>
      <c r="H325" s="7">
        <f>IFERROR(ROUND(O325/P325*100,2),0)</f>
      </c>
      <c r="I325" s="6" t="s">
        <v>1857</v>
      </c>
      <c r="J325" s="6"/>
      <c r="K325" s="7">
        <v>5.33</v>
      </c>
      <c r="L325" s="6" t="s">
        <v>22</v>
      </c>
      <c r="M325" s="7">
        <v>12</v>
      </c>
      <c r="N325" s="7">
        <v>15</v>
      </c>
      <c r="O325" s="7">
        <v>0</v>
      </c>
      <c r="P325" s="7">
        <v>0</v>
      </c>
    </row>
    <row x14ac:dyDescent="0.25" r="326" customHeight="1" ht="22">
      <c r="A326" s="4" t="s">
        <v>1858</v>
      </c>
      <c r="B326" s="5" t="s">
        <v>1859</v>
      </c>
      <c r="C326" s="6" t="s">
        <v>1860</v>
      </c>
      <c r="D326" s="6" t="s">
        <v>1861</v>
      </c>
      <c r="E326" s="6" t="s">
        <v>1861</v>
      </c>
      <c r="F326" s="6"/>
      <c r="G326" s="7">
        <f>IFERROR(ROUND(M326/N326*100,2),0)</f>
      </c>
      <c r="H326" s="7">
        <f>IFERROR(ROUND(O326/P326*100,2),0)</f>
      </c>
      <c r="I326" s="6" t="s">
        <v>1862</v>
      </c>
      <c r="J326" s="6"/>
      <c r="K326" s="7">
        <v>6.98</v>
      </c>
      <c r="L326" s="6" t="s">
        <v>22</v>
      </c>
      <c r="M326" s="7">
        <v>0</v>
      </c>
      <c r="N326" s="7">
        <v>1</v>
      </c>
      <c r="O326" s="7">
        <v>0</v>
      </c>
      <c r="P326" s="7">
        <v>0</v>
      </c>
    </row>
    <row x14ac:dyDescent="0.25" r="327" customHeight="1" ht="22">
      <c r="A327" s="4" t="s">
        <v>1863</v>
      </c>
      <c r="B327" s="5" t="s">
        <v>1864</v>
      </c>
      <c r="C327" s="6" t="s">
        <v>1865</v>
      </c>
      <c r="D327" s="6" t="s">
        <v>1866</v>
      </c>
      <c r="E327" s="6" t="s">
        <v>1867</v>
      </c>
      <c r="F327" s="6"/>
      <c r="G327" s="7">
        <f>IFERROR(ROUND(M327/N327*100,2),0)</f>
      </c>
      <c r="H327" s="7">
        <f>IFERROR(ROUND(O327/P327*100,2),0)</f>
      </c>
      <c r="I327" s="6"/>
      <c r="J327" s="6"/>
      <c r="K327" s="7">
        <v>8.29</v>
      </c>
      <c r="L327" s="6" t="s">
        <v>22</v>
      </c>
      <c r="M327" s="7">
        <v>3</v>
      </c>
      <c r="N327" s="7">
        <v>3</v>
      </c>
      <c r="O327" s="7">
        <v>0</v>
      </c>
      <c r="P327" s="7">
        <v>0</v>
      </c>
    </row>
    <row x14ac:dyDescent="0.25" r="328" customHeight="1" ht="22">
      <c r="A328" s="4" t="s">
        <v>1868</v>
      </c>
      <c r="B328" s="5" t="s">
        <v>1869</v>
      </c>
      <c r="C328" s="6" t="s">
        <v>1870</v>
      </c>
      <c r="D328" s="6" t="s">
        <v>1871</v>
      </c>
      <c r="E328" s="6" t="s">
        <v>1872</v>
      </c>
      <c r="F328" s="6"/>
      <c r="G328" s="7">
        <f>IFERROR(ROUND(M328/N328*100,2),0)</f>
      </c>
      <c r="H328" s="7">
        <f>IFERROR(ROUND(O328/P328*100,2),0)</f>
      </c>
      <c r="I328" s="6" t="s">
        <v>1873</v>
      </c>
      <c r="J328" s="6"/>
      <c r="K328" s="7">
        <v>12.54</v>
      </c>
      <c r="L328" s="6" t="s">
        <v>22</v>
      </c>
      <c r="M328" s="7">
        <v>1</v>
      </c>
      <c r="N328" s="7">
        <v>4</v>
      </c>
      <c r="O328" s="7">
        <v>0</v>
      </c>
      <c r="P328" s="7">
        <v>0</v>
      </c>
    </row>
    <row x14ac:dyDescent="0.25" r="329" customHeight="1" ht="22">
      <c r="A329" s="4" t="s">
        <v>1874</v>
      </c>
      <c r="B329" s="5" t="s">
        <v>1875</v>
      </c>
      <c r="C329" s="6" t="s">
        <v>1876</v>
      </c>
      <c r="D329" s="6" t="s">
        <v>1877</v>
      </c>
      <c r="E329" s="6" t="s">
        <v>1878</v>
      </c>
      <c r="F329" s="6"/>
      <c r="G329" s="7">
        <f>IFERROR(ROUND(M329/N329*100,2),0)</f>
      </c>
      <c r="H329" s="7">
        <f>IFERROR(ROUND(O329/P329*100,2),0)</f>
      </c>
      <c r="I329" s="6" t="s">
        <v>1879</v>
      </c>
      <c r="J329" s="6"/>
      <c r="K329" s="7">
        <v>7.59</v>
      </c>
      <c r="L329" s="6" t="s">
        <v>22</v>
      </c>
      <c r="M329" s="7">
        <v>4</v>
      </c>
      <c r="N329" s="7">
        <v>7</v>
      </c>
      <c r="O329" s="7">
        <v>0</v>
      </c>
      <c r="P329" s="7">
        <v>0</v>
      </c>
    </row>
    <row x14ac:dyDescent="0.25" r="330" customHeight="1" ht="54">
      <c r="A330" s="4" t="s">
        <v>1880</v>
      </c>
      <c r="B330" s="5" t="s">
        <v>1881</v>
      </c>
      <c r="C330" s="6" t="s">
        <v>1882</v>
      </c>
      <c r="D330" s="6" t="s">
        <v>1883</v>
      </c>
      <c r="E330" s="6" t="s">
        <v>1884</v>
      </c>
      <c r="F330" s="6"/>
      <c r="G330" s="7">
        <f>IFERROR(ROUND(M330/N330*100,2),0)</f>
      </c>
      <c r="H330" s="7">
        <f>IFERROR(ROUND(O330/P330*100,2),0)</f>
      </c>
      <c r="I330" s="6" t="s">
        <v>1885</v>
      </c>
      <c r="J330" s="6"/>
      <c r="K330" s="7">
        <v>9.26</v>
      </c>
      <c r="L330" s="6" t="s">
        <v>22</v>
      </c>
      <c r="M330" s="7">
        <v>15</v>
      </c>
      <c r="N330" s="7">
        <v>25</v>
      </c>
      <c r="O330" s="7">
        <v>0</v>
      </c>
      <c r="P330" s="7">
        <v>0</v>
      </c>
    </row>
    <row x14ac:dyDescent="0.25" r="331" customHeight="1" ht="36">
      <c r="A331" s="4" t="s">
        <v>1886</v>
      </c>
      <c r="B331" s="5" t="s">
        <v>1887</v>
      </c>
      <c r="C331" s="6" t="s">
        <v>1888</v>
      </c>
      <c r="D331" s="6" t="s">
        <v>1889</v>
      </c>
      <c r="E331" s="6" t="s">
        <v>1890</v>
      </c>
      <c r="F331" s="6"/>
      <c r="G331" s="7">
        <f>IFERROR(ROUND(M331/N331*100,2),0)</f>
      </c>
      <c r="H331" s="7">
        <f>IFERROR(ROUND(O331/P331*100,2),0)</f>
      </c>
      <c r="I331" s="6" t="s">
        <v>1891</v>
      </c>
      <c r="J331" s="6"/>
      <c r="K331" s="7">
        <v>8.06</v>
      </c>
      <c r="L331" s="6" t="s">
        <v>22</v>
      </c>
      <c r="M331" s="7">
        <v>6</v>
      </c>
      <c r="N331" s="7">
        <v>9</v>
      </c>
      <c r="O331" s="7">
        <v>0</v>
      </c>
      <c r="P331" s="7">
        <v>0</v>
      </c>
    </row>
    <row x14ac:dyDescent="0.25" r="332" customHeight="1" ht="36">
      <c r="A332" s="4" t="s">
        <v>1892</v>
      </c>
      <c r="B332" s="5" t="s">
        <v>1893</v>
      </c>
      <c r="C332" s="6" t="s">
        <v>1894</v>
      </c>
      <c r="D332" s="6" t="s">
        <v>1895</v>
      </c>
      <c r="E332" s="6" t="s">
        <v>1896</v>
      </c>
      <c r="F332" s="6"/>
      <c r="G332" s="7">
        <f>IFERROR(ROUND(M332/N332*100,2),0)</f>
      </c>
      <c r="H332" s="7">
        <f>IFERROR(ROUND(O332/P332*100,2),0)</f>
      </c>
      <c r="I332" s="6" t="s">
        <v>1897</v>
      </c>
      <c r="J332" s="6"/>
      <c r="K332" s="7">
        <v>6.97</v>
      </c>
      <c r="L332" s="6" t="s">
        <v>22</v>
      </c>
      <c r="M332" s="7">
        <v>8</v>
      </c>
      <c r="N332" s="7">
        <v>12</v>
      </c>
      <c r="O332" s="7">
        <v>0</v>
      </c>
      <c r="P332" s="7">
        <v>0</v>
      </c>
    </row>
    <row x14ac:dyDescent="0.25" r="333" customHeight="1" ht="36">
      <c r="A333" s="4" t="s">
        <v>1898</v>
      </c>
      <c r="B333" s="5" t="s">
        <v>1899</v>
      </c>
      <c r="C333" s="6" t="s">
        <v>1900</v>
      </c>
      <c r="D333" s="6" t="s">
        <v>1901</v>
      </c>
      <c r="E333" s="6" t="s">
        <v>1902</v>
      </c>
      <c r="F333" s="6"/>
      <c r="G333" s="7">
        <f>IFERROR(ROUND(M333/N333*100,2),0)</f>
      </c>
      <c r="H333" s="7">
        <f>IFERROR(ROUND(O333/P333*100,2),0)</f>
      </c>
      <c r="I333" s="6" t="s">
        <v>1903</v>
      </c>
      <c r="J333" s="6"/>
      <c r="K333" s="7">
        <v>8.15</v>
      </c>
      <c r="L333" s="6" t="s">
        <v>22</v>
      </c>
      <c r="M333" s="7">
        <v>9</v>
      </c>
      <c r="N333" s="7">
        <v>12</v>
      </c>
      <c r="O333" s="7">
        <v>0</v>
      </c>
      <c r="P333" s="7">
        <v>0</v>
      </c>
    </row>
    <row x14ac:dyDescent="0.25" r="334" customHeight="1" ht="36">
      <c r="A334" s="4" t="s">
        <v>1904</v>
      </c>
      <c r="B334" s="5" t="s">
        <v>1905</v>
      </c>
      <c r="C334" s="6" t="s">
        <v>1906</v>
      </c>
      <c r="D334" s="6" t="s">
        <v>1907</v>
      </c>
      <c r="E334" s="6" t="s">
        <v>1908</v>
      </c>
      <c r="F334" s="6"/>
      <c r="G334" s="7">
        <f>IFERROR(ROUND(M334/N334*100,2),0)</f>
      </c>
      <c r="H334" s="7">
        <f>IFERROR(ROUND(O334/P334*100,2),0)</f>
      </c>
      <c r="I334" s="6" t="s">
        <v>1909</v>
      </c>
      <c r="J334" s="6"/>
      <c r="K334" s="7">
        <v>10.44</v>
      </c>
      <c r="L334" s="6" t="s">
        <v>22</v>
      </c>
      <c r="M334" s="7">
        <v>7</v>
      </c>
      <c r="N334" s="7">
        <v>14</v>
      </c>
      <c r="O334" s="7">
        <v>0</v>
      </c>
      <c r="P334" s="7">
        <v>0</v>
      </c>
    </row>
    <row x14ac:dyDescent="0.25" r="335" customHeight="1" ht="36">
      <c r="A335" s="4" t="s">
        <v>1910</v>
      </c>
      <c r="B335" s="5" t="s">
        <v>1911</v>
      </c>
      <c r="C335" s="6" t="s">
        <v>1912</v>
      </c>
      <c r="D335" s="6" t="s">
        <v>1913</v>
      </c>
      <c r="E335" s="6" t="s">
        <v>1914</v>
      </c>
      <c r="F335" s="6"/>
      <c r="G335" s="7">
        <f>IFERROR(ROUND(M335/N335*100,2),0)</f>
      </c>
      <c r="H335" s="7">
        <f>IFERROR(ROUND(O335/P335*100,2),0)</f>
      </c>
      <c r="I335" s="6" t="s">
        <v>1915</v>
      </c>
      <c r="J335" s="6"/>
      <c r="K335" s="7">
        <v>6.44</v>
      </c>
      <c r="L335" s="6" t="s">
        <v>22</v>
      </c>
      <c r="M335" s="7">
        <v>4</v>
      </c>
      <c r="N335" s="7">
        <v>9</v>
      </c>
      <c r="O335" s="7">
        <v>0</v>
      </c>
      <c r="P335" s="7">
        <v>0</v>
      </c>
    </row>
    <row x14ac:dyDescent="0.25" r="336" customHeight="1" ht="22">
      <c r="A336" s="4" t="s">
        <v>1916</v>
      </c>
      <c r="B336" s="5" t="s">
        <v>1917</v>
      </c>
      <c r="C336" s="6" t="s">
        <v>1918</v>
      </c>
      <c r="D336" s="6" t="s">
        <v>1919</v>
      </c>
      <c r="E336" s="6" t="s">
        <v>1920</v>
      </c>
      <c r="F336" s="6"/>
      <c r="G336" s="7">
        <f>IFERROR(ROUND(M336/N336*100,2),0)</f>
      </c>
      <c r="H336" s="7">
        <f>IFERROR(ROUND(O336/P336*100,2),0)</f>
      </c>
      <c r="I336" s="6" t="s">
        <v>1921</v>
      </c>
      <c r="J336" s="6"/>
      <c r="K336" s="7">
        <v>8.34</v>
      </c>
      <c r="L336" s="6" t="s">
        <v>22</v>
      </c>
      <c r="M336" s="7">
        <v>5</v>
      </c>
      <c r="N336" s="7">
        <v>6</v>
      </c>
      <c r="O336" s="7">
        <v>0</v>
      </c>
      <c r="P336" s="7">
        <v>0</v>
      </c>
    </row>
    <row x14ac:dyDescent="0.25" r="337" customHeight="1" ht="36">
      <c r="A337" s="4" t="s">
        <v>1922</v>
      </c>
      <c r="B337" s="5" t="s">
        <v>1923</v>
      </c>
      <c r="C337" s="6" t="s">
        <v>1924</v>
      </c>
      <c r="D337" s="6" t="s">
        <v>1925</v>
      </c>
      <c r="E337" s="6" t="s">
        <v>1926</v>
      </c>
      <c r="F337" s="6"/>
      <c r="G337" s="7">
        <f>IFERROR(ROUND(M337/N337*100,2),0)</f>
      </c>
      <c r="H337" s="7">
        <f>IFERROR(ROUND(O337/P337*100,2),0)</f>
      </c>
      <c r="I337" s="6" t="s">
        <v>1927</v>
      </c>
      <c r="J337" s="6"/>
      <c r="K337" s="7">
        <v>8.16</v>
      </c>
      <c r="L337" s="6" t="s">
        <v>22</v>
      </c>
      <c r="M337" s="7">
        <v>9</v>
      </c>
      <c r="N337" s="7">
        <v>10</v>
      </c>
      <c r="O337" s="7">
        <v>0</v>
      </c>
      <c r="P337" s="7">
        <v>0</v>
      </c>
    </row>
    <row x14ac:dyDescent="0.25" r="338" customHeight="1" ht="22">
      <c r="A338" s="4" t="s">
        <v>1928</v>
      </c>
      <c r="B338" s="5" t="s">
        <v>1929</v>
      </c>
      <c r="C338" s="6" t="s">
        <v>1930</v>
      </c>
      <c r="D338" s="6" t="s">
        <v>1931</v>
      </c>
      <c r="E338" s="6" t="s">
        <v>1932</v>
      </c>
      <c r="F338" s="6"/>
      <c r="G338" s="7">
        <f>IFERROR(ROUND(M338/N338*100,2),0)</f>
      </c>
      <c r="H338" s="7">
        <f>IFERROR(ROUND(O338/P338*100,2),0)</f>
      </c>
      <c r="I338" s="6" t="s">
        <v>1036</v>
      </c>
      <c r="J338" s="6"/>
      <c r="K338" s="7">
        <v>5.14</v>
      </c>
      <c r="L338" s="6" t="s">
        <v>22</v>
      </c>
      <c r="M338" s="7">
        <v>5</v>
      </c>
      <c r="N338" s="7">
        <v>8</v>
      </c>
      <c r="O338" s="7">
        <v>0</v>
      </c>
      <c r="P338" s="7">
        <v>0</v>
      </c>
    </row>
    <row x14ac:dyDescent="0.25" r="339" customHeight="1" ht="36">
      <c r="A339" s="4" t="s">
        <v>1933</v>
      </c>
      <c r="B339" s="5" t="s">
        <v>1934</v>
      </c>
      <c r="C339" s="6" t="s">
        <v>1935</v>
      </c>
      <c r="D339" s="6" t="s">
        <v>1936</v>
      </c>
      <c r="E339" s="6" t="s">
        <v>1937</v>
      </c>
      <c r="F339" s="6"/>
      <c r="G339" s="7">
        <f>IFERROR(ROUND(M339/N339*100,2),0)</f>
      </c>
      <c r="H339" s="7">
        <f>IFERROR(ROUND(O339/P339*100,2),0)</f>
      </c>
      <c r="I339" s="6" t="s">
        <v>1938</v>
      </c>
      <c r="J339" s="6"/>
      <c r="K339" s="7">
        <v>13.05</v>
      </c>
      <c r="L339" s="6" t="s">
        <v>22</v>
      </c>
      <c r="M339" s="7">
        <v>6</v>
      </c>
      <c r="N339" s="7">
        <v>9</v>
      </c>
      <c r="O339" s="7">
        <v>0</v>
      </c>
      <c r="P339" s="7">
        <v>0</v>
      </c>
    </row>
    <row x14ac:dyDescent="0.25" r="340" customHeight="1" ht="22">
      <c r="A340" s="4" t="s">
        <v>1939</v>
      </c>
      <c r="B340" s="5" t="s">
        <v>1940</v>
      </c>
      <c r="C340" s="6" t="s">
        <v>1941</v>
      </c>
      <c r="D340" s="6" t="s">
        <v>1942</v>
      </c>
      <c r="E340" s="6" t="s">
        <v>1943</v>
      </c>
      <c r="F340" s="6"/>
      <c r="G340" s="7">
        <f>IFERROR(ROUND(M340/N340*100,2),0)</f>
      </c>
      <c r="H340" s="7">
        <f>IFERROR(ROUND(O340/P340*100,2),0)</f>
      </c>
      <c r="I340" s="6" t="s">
        <v>1944</v>
      </c>
      <c r="J340" s="6"/>
      <c r="K340" s="7">
        <v>9.1</v>
      </c>
      <c r="L340" s="6" t="s">
        <v>22</v>
      </c>
      <c r="M340" s="7">
        <v>0</v>
      </c>
      <c r="N340" s="7">
        <v>3</v>
      </c>
      <c r="O340" s="7">
        <v>0</v>
      </c>
      <c r="P340" s="7">
        <v>0</v>
      </c>
    </row>
    <row x14ac:dyDescent="0.25" r="341" customHeight="1" ht="36">
      <c r="A341" s="4" t="s">
        <v>1945</v>
      </c>
      <c r="B341" s="5" t="s">
        <v>1946</v>
      </c>
      <c r="C341" s="6" t="s">
        <v>1947</v>
      </c>
      <c r="D341" s="6" t="s">
        <v>1948</v>
      </c>
      <c r="E341" s="6" t="s">
        <v>1949</v>
      </c>
      <c r="F341" s="6"/>
      <c r="G341" s="7">
        <f>IFERROR(ROUND(M341/N341*100,2),0)</f>
      </c>
      <c r="H341" s="7">
        <f>IFERROR(ROUND(O341/P341*100,2),0)</f>
      </c>
      <c r="I341" s="6" t="s">
        <v>1950</v>
      </c>
      <c r="J341" s="6"/>
      <c r="K341" s="7">
        <v>6.64</v>
      </c>
      <c r="L341" s="6" t="s">
        <v>22</v>
      </c>
      <c r="M341" s="7">
        <v>11</v>
      </c>
      <c r="N341" s="7">
        <v>12</v>
      </c>
      <c r="O341" s="7">
        <v>0</v>
      </c>
      <c r="P341" s="7">
        <v>0</v>
      </c>
    </row>
    <row x14ac:dyDescent="0.25" r="342" customHeight="1" ht="22">
      <c r="A342" s="4" t="s">
        <v>1951</v>
      </c>
      <c r="B342" s="5" t="s">
        <v>1952</v>
      </c>
      <c r="C342" s="6" t="s">
        <v>1953</v>
      </c>
      <c r="D342" s="6" t="s">
        <v>1954</v>
      </c>
      <c r="E342" s="6" t="s">
        <v>1955</v>
      </c>
      <c r="F342" s="6"/>
      <c r="G342" s="7">
        <f>IFERROR(ROUND(M342/N342*100,2),0)</f>
      </c>
      <c r="H342" s="7">
        <f>IFERROR(ROUND(O342/P342*100,2),0)</f>
      </c>
      <c r="I342" s="6"/>
      <c r="J342" s="6"/>
      <c r="K342" s="7">
        <v>4.27</v>
      </c>
      <c r="L342" s="6" t="s">
        <v>22</v>
      </c>
      <c r="M342" s="7">
        <v>1</v>
      </c>
      <c r="N342" s="7">
        <v>1</v>
      </c>
      <c r="O342" s="7">
        <v>0</v>
      </c>
      <c r="P342" s="7">
        <v>0</v>
      </c>
    </row>
    <row x14ac:dyDescent="0.25" r="343" customHeight="1" ht="36">
      <c r="A343" s="4" t="s">
        <v>1956</v>
      </c>
      <c r="B343" s="5" t="s">
        <v>1957</v>
      </c>
      <c r="C343" s="6" t="s">
        <v>1958</v>
      </c>
      <c r="D343" s="6" t="s">
        <v>1959</v>
      </c>
      <c r="E343" s="6" t="s">
        <v>1960</v>
      </c>
      <c r="F343" s="6"/>
      <c r="G343" s="7">
        <f>IFERROR(ROUND(M343/N343*100,2),0)</f>
      </c>
      <c r="H343" s="7">
        <f>IFERROR(ROUND(O343/P343*100,2),0)</f>
      </c>
      <c r="I343" s="6" t="s">
        <v>1961</v>
      </c>
      <c r="J343" s="6"/>
      <c r="K343" s="7">
        <v>12.01</v>
      </c>
      <c r="L343" s="6" t="s">
        <v>22</v>
      </c>
      <c r="M343" s="7">
        <v>5</v>
      </c>
      <c r="N343" s="7">
        <v>14</v>
      </c>
      <c r="O343" s="7">
        <v>0</v>
      </c>
      <c r="P343" s="7">
        <v>0</v>
      </c>
    </row>
    <row x14ac:dyDescent="0.25" r="344" customHeight="1" ht="22">
      <c r="A344" s="4" t="s">
        <v>1962</v>
      </c>
      <c r="B344" s="5" t="s">
        <v>1963</v>
      </c>
      <c r="C344" s="6" t="s">
        <v>1964</v>
      </c>
      <c r="D344" s="6" t="s">
        <v>1965</v>
      </c>
      <c r="E344" s="6" t="s">
        <v>1966</v>
      </c>
      <c r="F344" s="6"/>
      <c r="G344" s="7">
        <f>IFERROR(ROUND(M344/N344*100,2),0)</f>
      </c>
      <c r="H344" s="7">
        <f>IFERROR(ROUND(O344/P344*100,2),0)</f>
      </c>
      <c r="I344" s="6" t="s">
        <v>1967</v>
      </c>
      <c r="J344" s="6"/>
      <c r="K344" s="7">
        <v>6.66</v>
      </c>
      <c r="L344" s="6" t="s">
        <v>22</v>
      </c>
      <c r="M344" s="7">
        <v>2</v>
      </c>
      <c r="N344" s="7">
        <v>4</v>
      </c>
      <c r="O344" s="7">
        <v>0</v>
      </c>
      <c r="P344" s="7">
        <v>0</v>
      </c>
    </row>
    <row x14ac:dyDescent="0.25" r="345" customHeight="1" ht="36">
      <c r="A345" s="4" t="s">
        <v>1968</v>
      </c>
      <c r="B345" s="5" t="s">
        <v>1969</v>
      </c>
      <c r="C345" s="6" t="s">
        <v>1970</v>
      </c>
      <c r="D345" s="6" t="s">
        <v>1971</v>
      </c>
      <c r="E345" s="6" t="s">
        <v>1972</v>
      </c>
      <c r="F345" s="6"/>
      <c r="G345" s="7">
        <f>IFERROR(ROUND(M345/N345*100,2),0)</f>
      </c>
      <c r="H345" s="7">
        <f>IFERROR(ROUND(O345/P345*100,2),0)</f>
      </c>
      <c r="I345" s="6" t="s">
        <v>1973</v>
      </c>
      <c r="J345" s="6"/>
      <c r="K345" s="7">
        <v>8.14</v>
      </c>
      <c r="L345" s="6" t="s">
        <v>22</v>
      </c>
      <c r="M345" s="7">
        <v>6</v>
      </c>
      <c r="N345" s="7">
        <v>9</v>
      </c>
      <c r="O345" s="7">
        <v>0</v>
      </c>
      <c r="P345" s="7">
        <v>0</v>
      </c>
    </row>
    <row x14ac:dyDescent="0.25" r="346" customHeight="1" ht="22">
      <c r="A346" s="4" t="s">
        <v>1974</v>
      </c>
      <c r="B346" s="5" t="s">
        <v>1975</v>
      </c>
      <c r="C346" s="6" t="s">
        <v>1976</v>
      </c>
      <c r="D346" s="6" t="s">
        <v>1977</v>
      </c>
      <c r="E346" s="6" t="s">
        <v>1978</v>
      </c>
      <c r="F346" s="6"/>
      <c r="G346" s="7">
        <f>IFERROR(ROUND(M346/N346*100,2),0)</f>
      </c>
      <c r="H346" s="7">
        <f>IFERROR(ROUND(O346/P346*100,2),0)</f>
      </c>
      <c r="I346" s="6" t="s">
        <v>1979</v>
      </c>
      <c r="J346" s="6"/>
      <c r="K346" s="7">
        <v>10.15</v>
      </c>
      <c r="L346" s="6" t="s">
        <v>22</v>
      </c>
      <c r="M346" s="7">
        <v>4</v>
      </c>
      <c r="N346" s="7">
        <v>7</v>
      </c>
      <c r="O346" s="7">
        <v>0</v>
      </c>
      <c r="P346" s="7">
        <v>0</v>
      </c>
    </row>
    <row x14ac:dyDescent="0.25" r="347" customHeight="1" ht="54">
      <c r="A347" s="4" t="s">
        <v>1980</v>
      </c>
      <c r="B347" s="5" t="s">
        <v>1981</v>
      </c>
      <c r="C347" s="6" t="s">
        <v>1982</v>
      </c>
      <c r="D347" s="6" t="s">
        <v>1983</v>
      </c>
      <c r="E347" s="6" t="s">
        <v>1984</v>
      </c>
      <c r="F347" s="6"/>
      <c r="G347" s="7">
        <f>IFERROR(ROUND(M347/N347*100,2),0)</f>
      </c>
      <c r="H347" s="7">
        <f>IFERROR(ROUND(O347/P347*100,2),0)</f>
      </c>
      <c r="I347" s="6" t="s">
        <v>1985</v>
      </c>
      <c r="J347" s="6"/>
      <c r="K347" s="7">
        <v>12.21</v>
      </c>
      <c r="L347" s="6" t="s">
        <v>22</v>
      </c>
      <c r="M347" s="7">
        <v>11</v>
      </c>
      <c r="N347" s="7">
        <v>15</v>
      </c>
      <c r="O347" s="7">
        <v>0</v>
      </c>
      <c r="P347" s="7">
        <v>0</v>
      </c>
    </row>
    <row x14ac:dyDescent="0.25" r="348" customHeight="1" ht="36">
      <c r="A348" s="4" t="s">
        <v>1986</v>
      </c>
      <c r="B348" s="5" t="s">
        <v>1987</v>
      </c>
      <c r="C348" s="6" t="s">
        <v>1988</v>
      </c>
      <c r="D348" s="6" t="s">
        <v>1989</v>
      </c>
      <c r="E348" s="6" t="s">
        <v>1990</v>
      </c>
      <c r="F348" s="6"/>
      <c r="G348" s="7">
        <f>IFERROR(ROUND(M348/N348*100,2),0)</f>
      </c>
      <c r="H348" s="7">
        <f>IFERROR(ROUND(O348/P348*100,2),0)</f>
      </c>
      <c r="I348" s="6" t="s">
        <v>1991</v>
      </c>
      <c r="J348" s="6"/>
      <c r="K348" s="7">
        <v>9.91</v>
      </c>
      <c r="L348" s="6" t="s">
        <v>22</v>
      </c>
      <c r="M348" s="7">
        <v>8</v>
      </c>
      <c r="N348" s="7">
        <v>11</v>
      </c>
      <c r="O348" s="7">
        <v>0</v>
      </c>
      <c r="P348" s="7">
        <v>0</v>
      </c>
    </row>
    <row x14ac:dyDescent="0.25" r="349" customHeight="1" ht="36">
      <c r="A349" s="4" t="s">
        <v>1992</v>
      </c>
      <c r="B349" s="5" t="s">
        <v>1993</v>
      </c>
      <c r="C349" s="6" t="s">
        <v>1994</v>
      </c>
      <c r="D349" s="6" t="s">
        <v>1995</v>
      </c>
      <c r="E349" s="6" t="s">
        <v>1996</v>
      </c>
      <c r="F349" s="6"/>
      <c r="G349" s="7">
        <f>IFERROR(ROUND(M349/N349*100,2),0)</f>
      </c>
      <c r="H349" s="7">
        <f>IFERROR(ROUND(O349/P349*100,2),0)</f>
      </c>
      <c r="I349" s="6" t="s">
        <v>1997</v>
      </c>
      <c r="J349" s="6"/>
      <c r="K349" s="7">
        <v>10.42</v>
      </c>
      <c r="L349" s="6" t="s">
        <v>22</v>
      </c>
      <c r="M349" s="7">
        <v>5</v>
      </c>
      <c r="N349" s="7">
        <v>7</v>
      </c>
      <c r="O349" s="7">
        <v>0</v>
      </c>
      <c r="P349" s="7">
        <v>0</v>
      </c>
    </row>
    <row x14ac:dyDescent="0.25" r="350" customHeight="1" ht="22">
      <c r="A350" s="4" t="s">
        <v>1998</v>
      </c>
      <c r="B350" s="5" t="s">
        <v>1999</v>
      </c>
      <c r="C350" s="6" t="s">
        <v>2000</v>
      </c>
      <c r="D350" s="6" t="s">
        <v>2001</v>
      </c>
      <c r="E350" s="6" t="s">
        <v>2002</v>
      </c>
      <c r="F350" s="6"/>
      <c r="G350" s="7">
        <f>IFERROR(ROUND(M350/N350*100,2),0)</f>
      </c>
      <c r="H350" s="7">
        <f>IFERROR(ROUND(O350/P350*100,2),0)</f>
      </c>
      <c r="I350" s="6" t="s">
        <v>2003</v>
      </c>
      <c r="J350" s="6"/>
      <c r="K350" s="7">
        <v>5.01</v>
      </c>
      <c r="L350" s="6" t="s">
        <v>22</v>
      </c>
      <c r="M350" s="7">
        <v>2</v>
      </c>
      <c r="N350" s="7">
        <v>6</v>
      </c>
      <c r="O350" s="7">
        <v>0</v>
      </c>
      <c r="P350" s="7">
        <v>0</v>
      </c>
    </row>
    <row x14ac:dyDescent="0.25" r="351" customHeight="1" ht="22">
      <c r="A351" s="4" t="s">
        <v>2004</v>
      </c>
      <c r="B351" s="5" t="s">
        <v>2005</v>
      </c>
      <c r="C351" s="6" t="s">
        <v>2006</v>
      </c>
      <c r="D351" s="6" t="s">
        <v>2007</v>
      </c>
      <c r="E351" s="6" t="s">
        <v>2008</v>
      </c>
      <c r="F351" s="6"/>
      <c r="G351" s="7">
        <f>IFERROR(ROUND(M351/N351*100,2),0)</f>
      </c>
      <c r="H351" s="7">
        <f>IFERROR(ROUND(O351/P351*100,2),0)</f>
      </c>
      <c r="I351" s="6" t="s">
        <v>2009</v>
      </c>
      <c r="J351" s="6"/>
      <c r="K351" s="7">
        <v>3.67</v>
      </c>
      <c r="L351" s="6" t="s">
        <v>22</v>
      </c>
      <c r="M351" s="7">
        <v>5</v>
      </c>
      <c r="N351" s="7">
        <v>8</v>
      </c>
      <c r="O351" s="7">
        <v>0</v>
      </c>
      <c r="P351" s="7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Summary</vt:lpstr>
      <vt:lpstr>Evaluation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2026-05-20T14:29:02.149Z</dcterms:created>
  <dcterms:modified xsi:type="dcterms:W3CDTF">2026-05-20T14:29:02.149Z</dcterms:modified>
</cp:coreProperties>
</file>